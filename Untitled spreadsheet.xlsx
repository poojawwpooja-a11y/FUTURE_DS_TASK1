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-sales" sheetId="1" r:id="rId5"/>
    <sheet state="visible" name="sales_data" sheetId="2" r:id="rId6"/>
    <sheet state="visible" name="Analysis" sheetId="3" r:id="rId7"/>
  </sheets>
  <definedNames>
    <definedName hidden="1" localSheetId="1" name="_xlnm._FilterDatabase">sales_data!$A$1:$H$241</definedName>
  </definedNames>
  <calcPr/>
</workbook>
</file>

<file path=xl/sharedStrings.xml><?xml version="1.0" encoding="utf-8"?>
<sst xmlns="http://schemas.openxmlformats.org/spreadsheetml/2006/main" count="1986" uniqueCount="305">
  <si>
    <t>order_id</t>
  </si>
  <si>
    <t>date</t>
  </si>
  <si>
    <t>product</t>
  </si>
  <si>
    <t>quantity</t>
  </si>
  <si>
    <t>unit_price</t>
  </si>
  <si>
    <t>total</t>
  </si>
  <si>
    <t>region</t>
  </si>
  <si>
    <t>salesperson</t>
  </si>
  <si>
    <t>SO-1001</t>
  </si>
  <si>
    <t>Mechanical Keyboard</t>
  </si>
  <si>
    <t>North</t>
  </si>
  <si>
    <t>Sofia Kowalski</t>
  </si>
  <si>
    <t>SO-1002</t>
  </si>
  <si>
    <t>USB-C Hub</t>
  </si>
  <si>
    <t>South</t>
  </si>
  <si>
    <t>SO-1003</t>
  </si>
  <si>
    <t>Standing Desk</t>
  </si>
  <si>
    <t>Elena Cohen</t>
  </si>
  <si>
    <t>SO-1004</t>
  </si>
  <si>
    <t>Webcam 1080p</t>
  </si>
  <si>
    <t>East</t>
  </si>
  <si>
    <t>Omar Haddad</t>
  </si>
  <si>
    <t>SO-1005</t>
  </si>
  <si>
    <t>Central</t>
  </si>
  <si>
    <t>SO-1006</t>
  </si>
  <si>
    <t>Desk Lamp</t>
  </si>
  <si>
    <t>West</t>
  </si>
  <si>
    <t>SO-1007</t>
  </si>
  <si>
    <t>Cable Organizer</t>
  </si>
  <si>
    <t>Tomás Tanaka</t>
  </si>
  <si>
    <t>SO-1008</t>
  </si>
  <si>
    <t>Noise-Cancelling Headphones</t>
  </si>
  <si>
    <t>SO-1009</t>
  </si>
  <si>
    <t>Laptop Stand</t>
  </si>
  <si>
    <t>SO-1010</t>
  </si>
  <si>
    <t>Ergonomic Chair</t>
  </si>
  <si>
    <t>Priya Herrera</t>
  </si>
  <si>
    <t>SO-1011</t>
  </si>
  <si>
    <t>SO-1012</t>
  </si>
  <si>
    <t>Wireless Mouse</t>
  </si>
  <si>
    <t>Chen Bennett</t>
  </si>
  <si>
    <t>SO-1013</t>
  </si>
  <si>
    <t>SO-1014</t>
  </si>
  <si>
    <t>SO-1015</t>
  </si>
  <si>
    <t>External SSD 1TB</t>
  </si>
  <si>
    <t>SO-1016</t>
  </si>
  <si>
    <t>SO-1017</t>
  </si>
  <si>
    <t>SO-1018</t>
  </si>
  <si>
    <t>SO-1019</t>
  </si>
  <si>
    <t>SO-1020</t>
  </si>
  <si>
    <t>SO-1021</t>
  </si>
  <si>
    <t>SO-1022</t>
  </si>
  <si>
    <t>SO-1023</t>
  </si>
  <si>
    <t>SO-1024</t>
  </si>
  <si>
    <t>SO-1025</t>
  </si>
  <si>
    <t>SO-1026</t>
  </si>
  <si>
    <t>SO-1027</t>
  </si>
  <si>
    <t>SO-1028</t>
  </si>
  <si>
    <t>SO-1029</t>
  </si>
  <si>
    <t>SO-1030</t>
  </si>
  <si>
    <t>SO-1031</t>
  </si>
  <si>
    <t>SO-1032</t>
  </si>
  <si>
    <t>SO-1033</t>
  </si>
  <si>
    <t>SO-1034</t>
  </si>
  <si>
    <t>27-inch Monitor</t>
  </si>
  <si>
    <t>SO-1035</t>
  </si>
  <si>
    <t>SO-1036</t>
  </si>
  <si>
    <t>SO-1037</t>
  </si>
  <si>
    <t>SO-1038</t>
  </si>
  <si>
    <t>SO-1039</t>
  </si>
  <si>
    <t>SO-1040</t>
  </si>
  <si>
    <t>SO-1041</t>
  </si>
  <si>
    <t>SO-1042</t>
  </si>
  <si>
    <t>SO-1043</t>
  </si>
  <si>
    <t>SO-1044</t>
  </si>
  <si>
    <t>SO-1045</t>
  </si>
  <si>
    <t>SO-1046</t>
  </si>
  <si>
    <t>SO-1047</t>
  </si>
  <si>
    <t>SO-1048</t>
  </si>
  <si>
    <t>SO-1049</t>
  </si>
  <si>
    <t>SO-1050</t>
  </si>
  <si>
    <t>SO-1051</t>
  </si>
  <si>
    <t>SO-1052</t>
  </si>
  <si>
    <t>SO-1053</t>
  </si>
  <si>
    <t>SO-1054</t>
  </si>
  <si>
    <t>SO-1055</t>
  </si>
  <si>
    <t>SO-1056</t>
  </si>
  <si>
    <t>SO-1057</t>
  </si>
  <si>
    <t>SO-1058</t>
  </si>
  <si>
    <t>SO-1059</t>
  </si>
  <si>
    <t>SO-1060</t>
  </si>
  <si>
    <t>SO-1061</t>
  </si>
  <si>
    <t>SO-1062</t>
  </si>
  <si>
    <t>SO-1063</t>
  </si>
  <si>
    <t>SO-1064</t>
  </si>
  <si>
    <t>SO-1065</t>
  </si>
  <si>
    <t>SO-1066</t>
  </si>
  <si>
    <t>SO-1067</t>
  </si>
  <si>
    <t>SO-1068</t>
  </si>
  <si>
    <t>SO-1069</t>
  </si>
  <si>
    <t>SO-1070</t>
  </si>
  <si>
    <t>SO-1071</t>
  </si>
  <si>
    <t>SO-1072</t>
  </si>
  <si>
    <t>SO-1073</t>
  </si>
  <si>
    <t>SO-1074</t>
  </si>
  <si>
    <t>SO-1075</t>
  </si>
  <si>
    <t>SO-1076</t>
  </si>
  <si>
    <t>SO-1077</t>
  </si>
  <si>
    <t>SO-1078</t>
  </si>
  <si>
    <t>SO-1079</t>
  </si>
  <si>
    <t>SO-1080</t>
  </si>
  <si>
    <t>SO-1081</t>
  </si>
  <si>
    <t>SO-1082</t>
  </si>
  <si>
    <t>SO-1083</t>
  </si>
  <si>
    <t>SO-1084</t>
  </si>
  <si>
    <t>SO-1085</t>
  </si>
  <si>
    <t>SO-1086</t>
  </si>
  <si>
    <t>SO-1087</t>
  </si>
  <si>
    <t>SO-1088</t>
  </si>
  <si>
    <t>SO-1089</t>
  </si>
  <si>
    <t>SO-1090</t>
  </si>
  <si>
    <t>SO-1091</t>
  </si>
  <si>
    <t>SO-1092</t>
  </si>
  <si>
    <t>SO-1093</t>
  </si>
  <si>
    <t>SO-1094</t>
  </si>
  <si>
    <t>SO-1095</t>
  </si>
  <si>
    <t>SO-1096</t>
  </si>
  <si>
    <t>SO-1097</t>
  </si>
  <si>
    <t>SO-1098</t>
  </si>
  <si>
    <t>SO-1099</t>
  </si>
  <si>
    <t>SO-1100</t>
  </si>
  <si>
    <t>SO-1101</t>
  </si>
  <si>
    <t>SO-1102</t>
  </si>
  <si>
    <t>SO-1103</t>
  </si>
  <si>
    <t>SO-1104</t>
  </si>
  <si>
    <t>SO-1105</t>
  </si>
  <si>
    <t>SO-1106</t>
  </si>
  <si>
    <t>SO-1107</t>
  </si>
  <si>
    <t>SO-1108</t>
  </si>
  <si>
    <t>SO-1109</t>
  </si>
  <si>
    <t>SO-1110</t>
  </si>
  <si>
    <t>SO-1111</t>
  </si>
  <si>
    <t>SO-1112</t>
  </si>
  <si>
    <t>SO-1113</t>
  </si>
  <si>
    <t>SO-1114</t>
  </si>
  <si>
    <t>SO-1115</t>
  </si>
  <si>
    <t>SO-1116</t>
  </si>
  <si>
    <t>SO-1117</t>
  </si>
  <si>
    <t>SO-1118</t>
  </si>
  <si>
    <t>SO-1119</t>
  </si>
  <si>
    <t>SO-1120</t>
  </si>
  <si>
    <t>SO-1121</t>
  </si>
  <si>
    <t>SO-1122</t>
  </si>
  <si>
    <t>SO-1123</t>
  </si>
  <si>
    <t>SO-1124</t>
  </si>
  <si>
    <t>SO-1125</t>
  </si>
  <si>
    <t>SO-1126</t>
  </si>
  <si>
    <t>SO-1127</t>
  </si>
  <si>
    <t>SO-1128</t>
  </si>
  <si>
    <t>SO-1129</t>
  </si>
  <si>
    <t>SO-1130</t>
  </si>
  <si>
    <t>SO-1131</t>
  </si>
  <si>
    <t>SO-1132</t>
  </si>
  <si>
    <t>SO-1133</t>
  </si>
  <si>
    <t>SO-1134</t>
  </si>
  <si>
    <t>SO-1135</t>
  </si>
  <si>
    <t>SO-1136</t>
  </si>
  <si>
    <t>SO-1137</t>
  </si>
  <si>
    <t>SO-1138</t>
  </si>
  <si>
    <t>SO-1139</t>
  </si>
  <si>
    <t>SO-1140</t>
  </si>
  <si>
    <t>SO-1141</t>
  </si>
  <si>
    <t>SO-1142</t>
  </si>
  <si>
    <t>SO-1143</t>
  </si>
  <si>
    <t>SO-1144</t>
  </si>
  <si>
    <t>SO-1145</t>
  </si>
  <si>
    <t>SO-1146</t>
  </si>
  <si>
    <t>SO-1147</t>
  </si>
  <si>
    <t>SO-1148</t>
  </si>
  <si>
    <t>SO-1149</t>
  </si>
  <si>
    <t>SO-1150</t>
  </si>
  <si>
    <t>SO-1151</t>
  </si>
  <si>
    <t>SO-1152</t>
  </si>
  <si>
    <t>SO-1153</t>
  </si>
  <si>
    <t>SO-1154</t>
  </si>
  <si>
    <t>SO-1155</t>
  </si>
  <si>
    <t>SO-1156</t>
  </si>
  <si>
    <t>SO-1157</t>
  </si>
  <si>
    <t>SO-1158</t>
  </si>
  <si>
    <t>SO-1159</t>
  </si>
  <si>
    <t>SO-1160</t>
  </si>
  <si>
    <t>SO-1161</t>
  </si>
  <si>
    <t>SO-1162</t>
  </si>
  <si>
    <t>SO-1163</t>
  </si>
  <si>
    <t>SO-1164</t>
  </si>
  <si>
    <t>SO-1165</t>
  </si>
  <si>
    <t>SO-1166</t>
  </si>
  <si>
    <t>SO-1167</t>
  </si>
  <si>
    <t>SO-1168</t>
  </si>
  <si>
    <t>SO-1169</t>
  </si>
  <si>
    <t>SO-1170</t>
  </si>
  <si>
    <t>SO-1171</t>
  </si>
  <si>
    <t>SO-1172</t>
  </si>
  <si>
    <t>SO-1173</t>
  </si>
  <si>
    <t>SO-1174</t>
  </si>
  <si>
    <t>SO-1175</t>
  </si>
  <si>
    <t>SO-1176</t>
  </si>
  <si>
    <t>SO-1177</t>
  </si>
  <si>
    <t>SO-1178</t>
  </si>
  <si>
    <t>SO-1179</t>
  </si>
  <si>
    <t>SO-1180</t>
  </si>
  <si>
    <t>SO-1181</t>
  </si>
  <si>
    <t>SO-1182</t>
  </si>
  <si>
    <t>SO-1183</t>
  </si>
  <si>
    <t>SO-1184</t>
  </si>
  <si>
    <t>SO-1185</t>
  </si>
  <si>
    <t>SO-1186</t>
  </si>
  <si>
    <t>SO-1187</t>
  </si>
  <si>
    <t>SO-1188</t>
  </si>
  <si>
    <t>SO-1189</t>
  </si>
  <si>
    <t>SO-1190</t>
  </si>
  <si>
    <t>SO-1191</t>
  </si>
  <si>
    <t>SO-1192</t>
  </si>
  <si>
    <t>SO-1193</t>
  </si>
  <si>
    <t>SO-1194</t>
  </si>
  <si>
    <t>SO-1195</t>
  </si>
  <si>
    <t>SO-1196</t>
  </si>
  <si>
    <t>SO-1197</t>
  </si>
  <si>
    <t>SO-1198</t>
  </si>
  <si>
    <t>SO-1199</t>
  </si>
  <si>
    <t>SO-1200</t>
  </si>
  <si>
    <t>SO-1201</t>
  </si>
  <si>
    <t>SO-1202</t>
  </si>
  <si>
    <t>SO-1203</t>
  </si>
  <si>
    <t>SO-1204</t>
  </si>
  <si>
    <t>SO-1205</t>
  </si>
  <si>
    <t>SO-1206</t>
  </si>
  <si>
    <t>SO-1207</t>
  </si>
  <si>
    <t>SO-1208</t>
  </si>
  <si>
    <t>SO-1209</t>
  </si>
  <si>
    <t>SO-1210</t>
  </si>
  <si>
    <t>SO-1211</t>
  </si>
  <si>
    <t>SO-1212</t>
  </si>
  <si>
    <t>SO-1213</t>
  </si>
  <si>
    <t>SO-1214</t>
  </si>
  <si>
    <t>SO-1215</t>
  </si>
  <si>
    <t>SO-1216</t>
  </si>
  <si>
    <t>SO-1217</t>
  </si>
  <si>
    <t>SO-1218</t>
  </si>
  <si>
    <t>SO-1219</t>
  </si>
  <si>
    <t>SO-1220</t>
  </si>
  <si>
    <t>SO-1221</t>
  </si>
  <si>
    <t>SO-1222</t>
  </si>
  <si>
    <t>SO-1223</t>
  </si>
  <si>
    <t>SO-1224</t>
  </si>
  <si>
    <t>SO-1225</t>
  </si>
  <si>
    <t>SO-1226</t>
  </si>
  <si>
    <t>SO-1227</t>
  </si>
  <si>
    <t>SO-1228</t>
  </si>
  <si>
    <t>SO-1229</t>
  </si>
  <si>
    <t>SO-1230</t>
  </si>
  <si>
    <t>SO-1231</t>
  </si>
  <si>
    <t>SO-1232</t>
  </si>
  <si>
    <t>SO-1233</t>
  </si>
  <si>
    <t>SO-1234</t>
  </si>
  <si>
    <t>SO-1235</t>
  </si>
  <si>
    <t>SO-1236</t>
  </si>
  <si>
    <t>SO-1237</t>
  </si>
  <si>
    <t>SO-1238</t>
  </si>
  <si>
    <t>SO-1239</t>
  </si>
  <si>
    <t>SO-1240</t>
  </si>
  <si>
    <t>Business Sales Performances Analysis</t>
  </si>
  <si>
    <t>Total Revenue</t>
  </si>
  <si>
    <t>Total Quality Sold</t>
  </si>
  <si>
    <t>Number of Orders</t>
  </si>
  <si>
    <t>Revenue by Region</t>
  </si>
  <si>
    <t>Region</t>
  </si>
  <si>
    <t>Revenue</t>
  </si>
  <si>
    <t>Top_Selling Products</t>
  </si>
  <si>
    <t>Product</t>
  </si>
  <si>
    <t>Quantity Sold</t>
  </si>
  <si>
    <t>Monthly Revenue Trend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</si>
  <si>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</si>
  <si>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</si>
  <si>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</si>
  <si>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</si>
  <si>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</si>
  <si>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</si>
  <si>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</si>
  <si>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</si>
  <si>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</si>
  <si>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</si>
  <si>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</si>
  <si>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</si>
  <si>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</si>
  <si>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Key Business Insights</t>
  </si>
  <si>
    <t xml:space="preserve"> 1.Total Revenue and Sales Valume were analyzed to understand overall business performance</t>
  </si>
  <si>
    <t xml:space="preserve"> 2.Regional revenue analysis helps indentify which regions contribute the most to overall sales </t>
  </si>
  <si>
    <t xml:space="preserve"> 3.Top-selling products were identified to understand which product drive the highest sales volume </t>
  </si>
  <si>
    <t xml:space="preserve"> 4.Monthly revenue trends help identify periods of stronger and weaker business performance</t>
  </si>
  <si>
    <t xml:space="preserve">Recommendations        </t>
  </si>
  <si>
    <t>1.Focus marketing and promotions on the best-proforming regions and products</t>
  </si>
  <si>
    <t>2.Montior monthly sales trends and planinventory according to demand</t>
  </si>
  <si>
    <t>3.Give more attention to high-demand product to maintain strong sales perfomance</t>
  </si>
  <si>
    <t xml:space="preserve">4.Use regional and product-level sales insights to improve future business planning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</si>
</sst>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Region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Analysis!$B$7:$B$8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Analysis!$A$9:$A$12</c:f>
            </c:strRef>
          </c:cat>
          <c:val>
            <c:numRef>
              <c:f>Analysis!$B$9:$B$12</c:f>
              <c:numCache/>
            </c:numRef>
          </c:val>
        </c:ser>
        <c:axId val="1586604158"/>
        <c:axId val="1358832101"/>
      </c:barChart>
      <c:catAx>
        <c:axId val="15866041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Region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8832101"/>
      </c:catAx>
      <c:valAx>
        <c:axId val="13588321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8660415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vs.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Analysis!$B$30:$B$31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Analysis!$A$32:$A$43</c:f>
            </c:strRef>
          </c:cat>
          <c:val>
            <c:numRef>
              <c:f>Analysis!$B$32:$B$43</c:f>
              <c:numCache/>
            </c:numRef>
          </c:val>
          <c:smooth val="0"/>
        </c:ser>
        <c:axId val="375207637"/>
        <c:axId val="557094602"/>
      </c:lineChart>
      <c:catAx>
        <c:axId val="37520763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7094602"/>
      </c:catAx>
      <c:valAx>
        <c:axId val="5570946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52076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962025</xdr:colOff>
      <xdr:row>0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9525</xdr:colOff>
      <xdr:row>26</xdr:row>
      <xdr:rowOff>190500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46146.0</v>
      </c>
      <c r="C2" s="2" t="s">
        <v>9</v>
      </c>
      <c r="D2" s="2">
        <v>6.0</v>
      </c>
      <c r="E2" s="2">
        <v>112.7</v>
      </c>
      <c r="F2" s="2">
        <v>676.2</v>
      </c>
      <c r="G2" s="2" t="s">
        <v>10</v>
      </c>
      <c r="H2" s="2" t="s">
        <v>11</v>
      </c>
    </row>
    <row r="3">
      <c r="A3" s="1" t="s">
        <v>12</v>
      </c>
      <c r="B3" s="3">
        <v>46199.0</v>
      </c>
      <c r="C3" s="2" t="s">
        <v>13</v>
      </c>
      <c r="D3" s="2">
        <v>6.0</v>
      </c>
      <c r="E3" s="2">
        <v>35.78</v>
      </c>
      <c r="F3" s="2">
        <v>214.68</v>
      </c>
      <c r="G3" s="2" t="s">
        <v>14</v>
      </c>
      <c r="H3" s="2" t="s">
        <v>11</v>
      </c>
    </row>
    <row r="4">
      <c r="A4" s="1" t="s">
        <v>15</v>
      </c>
      <c r="B4" s="3">
        <v>46089.0</v>
      </c>
      <c r="C4" s="2" t="s">
        <v>16</v>
      </c>
      <c r="D4" s="2">
        <v>1.0</v>
      </c>
      <c r="E4" s="2">
        <v>111.15</v>
      </c>
      <c r="F4" s="2">
        <v>111.15</v>
      </c>
      <c r="G4" s="2" t="s">
        <v>14</v>
      </c>
      <c r="H4" s="2" t="s">
        <v>17</v>
      </c>
    </row>
    <row r="5">
      <c r="A5" s="1" t="s">
        <v>18</v>
      </c>
      <c r="B5" s="3">
        <v>46067.0</v>
      </c>
      <c r="C5" s="2" t="s">
        <v>19</v>
      </c>
      <c r="D5" s="2">
        <v>1.0</v>
      </c>
      <c r="E5" s="2">
        <v>112.67</v>
      </c>
      <c r="F5" s="2">
        <v>112.67</v>
      </c>
      <c r="G5" s="2" t="s">
        <v>20</v>
      </c>
      <c r="H5" s="2" t="s">
        <v>21</v>
      </c>
    </row>
    <row r="6">
      <c r="A6" s="1" t="s">
        <v>22</v>
      </c>
      <c r="B6" s="3">
        <v>46075.0</v>
      </c>
      <c r="C6" s="2" t="s">
        <v>19</v>
      </c>
      <c r="D6" s="2">
        <v>1.0</v>
      </c>
      <c r="E6" s="2">
        <v>54.09</v>
      </c>
      <c r="F6" s="2">
        <v>54.09</v>
      </c>
      <c r="G6" s="2" t="s">
        <v>23</v>
      </c>
      <c r="H6" s="2" t="s">
        <v>11</v>
      </c>
    </row>
    <row r="7">
      <c r="A7" s="1" t="s">
        <v>24</v>
      </c>
      <c r="B7" s="3">
        <v>46040.0</v>
      </c>
      <c r="C7" s="2" t="s">
        <v>25</v>
      </c>
      <c r="D7" s="2">
        <v>4.0</v>
      </c>
      <c r="E7" s="2">
        <v>215.54</v>
      </c>
      <c r="F7" s="2">
        <v>862.16</v>
      </c>
      <c r="G7" s="2" t="s">
        <v>26</v>
      </c>
      <c r="H7" s="2" t="s">
        <v>21</v>
      </c>
    </row>
    <row r="8">
      <c r="A8" s="1" t="s">
        <v>27</v>
      </c>
      <c r="B8" s="3">
        <v>46125.0</v>
      </c>
      <c r="C8" s="2" t="s">
        <v>28</v>
      </c>
      <c r="D8" s="2">
        <v>3.0</v>
      </c>
      <c r="E8" s="2">
        <v>17.52</v>
      </c>
      <c r="F8" s="2">
        <v>52.56</v>
      </c>
      <c r="G8" s="2" t="s">
        <v>20</v>
      </c>
      <c r="H8" s="2" t="s">
        <v>29</v>
      </c>
    </row>
    <row r="9">
      <c r="A9" s="1" t="s">
        <v>30</v>
      </c>
      <c r="B9" s="3">
        <v>46148.0</v>
      </c>
      <c r="C9" s="2" t="s">
        <v>31</v>
      </c>
      <c r="D9" s="2">
        <v>6.0</v>
      </c>
      <c r="E9" s="2">
        <v>181.65</v>
      </c>
      <c r="F9" s="2">
        <v>1089.9</v>
      </c>
      <c r="G9" s="2" t="s">
        <v>26</v>
      </c>
      <c r="H9" s="2" t="s">
        <v>21</v>
      </c>
    </row>
    <row r="10">
      <c r="A10" s="1" t="s">
        <v>32</v>
      </c>
      <c r="B10" s="3">
        <v>46116.0</v>
      </c>
      <c r="C10" s="2" t="s">
        <v>33</v>
      </c>
      <c r="D10" s="2">
        <v>8.0</v>
      </c>
      <c r="E10" s="2">
        <v>28.72</v>
      </c>
      <c r="F10" s="2">
        <v>229.76</v>
      </c>
      <c r="G10" s="2" t="s">
        <v>20</v>
      </c>
      <c r="H10" s="2" t="s">
        <v>11</v>
      </c>
    </row>
    <row r="11">
      <c r="A11" s="1" t="s">
        <v>34</v>
      </c>
      <c r="B11" s="3">
        <v>46082.0</v>
      </c>
      <c r="C11" s="2" t="s">
        <v>35</v>
      </c>
      <c r="D11" s="2">
        <v>7.0</v>
      </c>
      <c r="E11" s="2">
        <v>143.97</v>
      </c>
      <c r="F11" s="2">
        <v>1007.79</v>
      </c>
      <c r="G11" s="2" t="s">
        <v>20</v>
      </c>
      <c r="H11" s="2" t="s">
        <v>36</v>
      </c>
    </row>
    <row r="12">
      <c r="A12" s="1" t="s">
        <v>37</v>
      </c>
      <c r="B12" s="3">
        <v>46049.0</v>
      </c>
      <c r="C12" s="2" t="s">
        <v>28</v>
      </c>
      <c r="D12" s="2">
        <v>7.0</v>
      </c>
      <c r="E12" s="2">
        <v>147.79</v>
      </c>
      <c r="F12" s="2">
        <v>1034.53</v>
      </c>
      <c r="G12" s="2" t="s">
        <v>10</v>
      </c>
      <c r="H12" s="2" t="s">
        <v>36</v>
      </c>
    </row>
    <row r="13">
      <c r="A13" s="1" t="s">
        <v>38</v>
      </c>
      <c r="B13" s="3">
        <v>46161.0</v>
      </c>
      <c r="C13" s="2" t="s">
        <v>39</v>
      </c>
      <c r="D13" s="2">
        <v>5.0</v>
      </c>
      <c r="E13" s="2">
        <v>206.67</v>
      </c>
      <c r="F13" s="2">
        <v>1033.35</v>
      </c>
      <c r="G13" s="2" t="s">
        <v>10</v>
      </c>
      <c r="H13" s="2" t="s">
        <v>40</v>
      </c>
    </row>
    <row r="14">
      <c r="A14" s="1" t="s">
        <v>41</v>
      </c>
      <c r="B14" s="3">
        <v>46131.0</v>
      </c>
      <c r="C14" s="2" t="s">
        <v>13</v>
      </c>
      <c r="D14" s="2">
        <v>6.0</v>
      </c>
      <c r="E14" s="2">
        <v>119.74</v>
      </c>
      <c r="F14" s="2">
        <v>718.44</v>
      </c>
      <c r="G14" s="2" t="s">
        <v>14</v>
      </c>
      <c r="H14" s="2" t="s">
        <v>29</v>
      </c>
    </row>
    <row r="15">
      <c r="A15" s="1" t="s">
        <v>42</v>
      </c>
      <c r="B15" s="3">
        <v>46128.0</v>
      </c>
      <c r="C15" s="2" t="s">
        <v>9</v>
      </c>
      <c r="D15" s="2">
        <v>2.0</v>
      </c>
      <c r="E15" s="2">
        <v>179.18</v>
      </c>
      <c r="F15" s="2">
        <v>358.36</v>
      </c>
      <c r="G15" s="2" t="s">
        <v>10</v>
      </c>
      <c r="H15" s="2" t="s">
        <v>29</v>
      </c>
    </row>
    <row r="16">
      <c r="A16" s="1" t="s">
        <v>43</v>
      </c>
      <c r="B16" s="3">
        <v>46187.0</v>
      </c>
      <c r="C16" s="2" t="s">
        <v>44</v>
      </c>
      <c r="D16" s="2">
        <v>8.0</v>
      </c>
      <c r="E16" s="2">
        <v>149.41</v>
      </c>
      <c r="F16" s="2">
        <v>1195.28</v>
      </c>
      <c r="G16" s="2" t="s">
        <v>20</v>
      </c>
      <c r="H16" s="2" t="s">
        <v>40</v>
      </c>
    </row>
    <row r="17">
      <c r="A17" s="1" t="s">
        <v>45</v>
      </c>
      <c r="B17" s="3">
        <v>46028.0</v>
      </c>
      <c r="C17" s="2" t="s">
        <v>35</v>
      </c>
      <c r="D17" s="2">
        <v>1.0</v>
      </c>
      <c r="E17" s="2">
        <v>223.56</v>
      </c>
      <c r="F17" s="2">
        <v>223.56</v>
      </c>
      <c r="G17" s="2" t="s">
        <v>23</v>
      </c>
      <c r="H17" s="2" t="s">
        <v>17</v>
      </c>
    </row>
    <row r="18">
      <c r="A18" s="1" t="s">
        <v>46</v>
      </c>
      <c r="B18" s="3">
        <v>46092.0</v>
      </c>
      <c r="C18" s="2" t="s">
        <v>25</v>
      </c>
      <c r="D18" s="2">
        <v>7.0</v>
      </c>
      <c r="E18" s="2">
        <v>59.12</v>
      </c>
      <c r="F18" s="2">
        <v>413.84</v>
      </c>
      <c r="G18" s="2" t="s">
        <v>10</v>
      </c>
      <c r="H18" s="2" t="s">
        <v>40</v>
      </c>
    </row>
    <row r="19">
      <c r="A19" s="1" t="s">
        <v>47</v>
      </c>
      <c r="B19" s="3">
        <v>46129.0</v>
      </c>
      <c r="C19" s="2" t="s">
        <v>9</v>
      </c>
      <c r="D19" s="2">
        <v>7.0</v>
      </c>
      <c r="E19" s="2">
        <v>90.62</v>
      </c>
      <c r="F19" s="2">
        <v>634.34</v>
      </c>
      <c r="G19" s="2" t="s">
        <v>20</v>
      </c>
      <c r="H19" s="2" t="s">
        <v>36</v>
      </c>
    </row>
    <row r="20">
      <c r="A20" s="1" t="s">
        <v>48</v>
      </c>
      <c r="B20" s="3">
        <v>46032.0</v>
      </c>
      <c r="C20" s="2" t="s">
        <v>19</v>
      </c>
      <c r="D20" s="2">
        <v>2.0</v>
      </c>
      <c r="E20" s="2">
        <v>197.09</v>
      </c>
      <c r="F20" s="2">
        <v>394.18</v>
      </c>
      <c r="G20" s="2" t="s">
        <v>20</v>
      </c>
      <c r="H20" s="2" t="s">
        <v>11</v>
      </c>
    </row>
    <row r="21">
      <c r="A21" s="1" t="s">
        <v>49</v>
      </c>
      <c r="B21" s="3">
        <v>46202.0</v>
      </c>
      <c r="C21" s="2" t="s">
        <v>33</v>
      </c>
      <c r="D21" s="2">
        <v>4.0</v>
      </c>
      <c r="E21" s="2">
        <v>167.13</v>
      </c>
      <c r="F21" s="2">
        <v>668.52</v>
      </c>
      <c r="G21" s="2" t="s">
        <v>20</v>
      </c>
      <c r="H21" s="2" t="s">
        <v>36</v>
      </c>
    </row>
    <row r="22">
      <c r="A22" s="1" t="s">
        <v>50</v>
      </c>
      <c r="B22" s="3">
        <v>46128.0</v>
      </c>
      <c r="C22" s="2" t="s">
        <v>39</v>
      </c>
      <c r="D22" s="2">
        <v>3.0</v>
      </c>
      <c r="E22" s="2">
        <v>63.19</v>
      </c>
      <c r="F22" s="2">
        <v>189.57</v>
      </c>
      <c r="G22" s="2" t="s">
        <v>14</v>
      </c>
      <c r="H22" s="2" t="s">
        <v>11</v>
      </c>
    </row>
    <row r="23">
      <c r="A23" s="1" t="s">
        <v>51</v>
      </c>
      <c r="B23" s="3">
        <v>46098.0</v>
      </c>
      <c r="C23" s="2" t="s">
        <v>44</v>
      </c>
      <c r="D23" s="2">
        <v>3.0</v>
      </c>
      <c r="E23" s="2">
        <v>36.67</v>
      </c>
      <c r="F23" s="2">
        <v>110.01</v>
      </c>
      <c r="G23" s="2" t="s">
        <v>20</v>
      </c>
      <c r="H23" s="2" t="s">
        <v>29</v>
      </c>
    </row>
    <row r="24">
      <c r="A24" s="1" t="s">
        <v>52</v>
      </c>
      <c r="B24" s="3">
        <v>46107.0</v>
      </c>
      <c r="C24" s="2" t="s">
        <v>13</v>
      </c>
      <c r="D24" s="2">
        <v>2.0</v>
      </c>
      <c r="E24" s="2">
        <v>179.02</v>
      </c>
      <c r="F24" s="2">
        <v>358.04</v>
      </c>
      <c r="G24" s="2" t="s">
        <v>23</v>
      </c>
      <c r="H24" s="2" t="s">
        <v>21</v>
      </c>
    </row>
    <row r="25">
      <c r="A25" s="1" t="s">
        <v>53</v>
      </c>
      <c r="B25" s="3">
        <v>46111.0</v>
      </c>
      <c r="C25" s="2" t="s">
        <v>25</v>
      </c>
      <c r="D25" s="2">
        <v>1.0</v>
      </c>
      <c r="E25" s="2">
        <v>54.88</v>
      </c>
      <c r="F25" s="2">
        <v>54.88</v>
      </c>
      <c r="G25" s="2" t="s">
        <v>23</v>
      </c>
      <c r="H25" s="2" t="s">
        <v>17</v>
      </c>
    </row>
    <row r="26">
      <c r="A26" s="1" t="s">
        <v>54</v>
      </c>
      <c r="B26" s="3">
        <v>46201.0</v>
      </c>
      <c r="C26" s="2" t="s">
        <v>33</v>
      </c>
      <c r="D26" s="2">
        <v>4.0</v>
      </c>
      <c r="E26" s="2">
        <v>161.26</v>
      </c>
      <c r="F26" s="2">
        <v>645.04</v>
      </c>
      <c r="G26" s="2" t="s">
        <v>20</v>
      </c>
      <c r="H26" s="2" t="s">
        <v>17</v>
      </c>
    </row>
    <row r="27">
      <c r="A27" s="1" t="s">
        <v>55</v>
      </c>
      <c r="B27" s="3">
        <v>46163.0</v>
      </c>
      <c r="C27" s="2" t="s">
        <v>33</v>
      </c>
      <c r="D27" s="2">
        <v>5.0</v>
      </c>
      <c r="E27" s="2">
        <v>214.71</v>
      </c>
      <c r="F27" s="2">
        <v>1073.55</v>
      </c>
      <c r="G27" s="2" t="s">
        <v>26</v>
      </c>
      <c r="H27" s="2" t="s">
        <v>11</v>
      </c>
    </row>
    <row r="28">
      <c r="A28" s="1" t="s">
        <v>56</v>
      </c>
      <c r="B28" s="3">
        <v>46064.0</v>
      </c>
      <c r="C28" s="2" t="s">
        <v>39</v>
      </c>
      <c r="D28" s="2">
        <v>5.0</v>
      </c>
      <c r="E28" s="2">
        <v>12.96</v>
      </c>
      <c r="F28" s="2">
        <v>64.8</v>
      </c>
      <c r="G28" s="2" t="s">
        <v>23</v>
      </c>
      <c r="H28" s="2" t="s">
        <v>11</v>
      </c>
    </row>
    <row r="29">
      <c r="A29" s="1" t="s">
        <v>57</v>
      </c>
      <c r="B29" s="3">
        <v>46040.0</v>
      </c>
      <c r="C29" s="2" t="s">
        <v>28</v>
      </c>
      <c r="D29" s="2">
        <v>5.0</v>
      </c>
      <c r="E29" s="2">
        <v>68.38</v>
      </c>
      <c r="F29" s="2">
        <v>341.9</v>
      </c>
      <c r="G29" s="2" t="s">
        <v>23</v>
      </c>
      <c r="H29" s="2" t="s">
        <v>36</v>
      </c>
    </row>
    <row r="30">
      <c r="A30" s="1" t="s">
        <v>58</v>
      </c>
      <c r="B30" s="3">
        <v>46194.0</v>
      </c>
      <c r="C30" s="2" t="s">
        <v>9</v>
      </c>
      <c r="D30" s="2">
        <v>4.0</v>
      </c>
      <c r="E30" s="2">
        <v>30.61</v>
      </c>
      <c r="F30" s="2">
        <v>122.44</v>
      </c>
      <c r="G30" s="2" t="s">
        <v>23</v>
      </c>
      <c r="H30" s="2" t="s">
        <v>17</v>
      </c>
    </row>
    <row r="31">
      <c r="A31" s="1" t="s">
        <v>59</v>
      </c>
      <c r="B31" s="3">
        <v>46046.0</v>
      </c>
      <c r="C31" s="2" t="s">
        <v>9</v>
      </c>
      <c r="D31" s="2">
        <v>8.0</v>
      </c>
      <c r="E31" s="2">
        <v>103.99</v>
      </c>
      <c r="F31" s="2">
        <v>831.92</v>
      </c>
      <c r="G31" s="2" t="s">
        <v>23</v>
      </c>
      <c r="H31" s="2" t="s">
        <v>36</v>
      </c>
    </row>
    <row r="32">
      <c r="A32" s="1" t="s">
        <v>60</v>
      </c>
      <c r="B32" s="3">
        <v>46067.0</v>
      </c>
      <c r="C32" s="2" t="s">
        <v>25</v>
      </c>
      <c r="D32" s="2">
        <v>1.0</v>
      </c>
      <c r="E32" s="2">
        <v>217.69</v>
      </c>
      <c r="F32" s="2">
        <v>217.69</v>
      </c>
      <c r="G32" s="2" t="s">
        <v>23</v>
      </c>
      <c r="H32" s="2" t="s">
        <v>17</v>
      </c>
    </row>
    <row r="33">
      <c r="A33" s="1" t="s">
        <v>61</v>
      </c>
      <c r="B33" s="3">
        <v>46186.0</v>
      </c>
      <c r="C33" s="2" t="s">
        <v>39</v>
      </c>
      <c r="D33" s="2">
        <v>4.0</v>
      </c>
      <c r="E33" s="2">
        <v>248.32</v>
      </c>
      <c r="F33" s="2">
        <v>993.28</v>
      </c>
      <c r="G33" s="2" t="s">
        <v>10</v>
      </c>
      <c r="H33" s="2" t="s">
        <v>40</v>
      </c>
    </row>
    <row r="34">
      <c r="A34" s="1" t="s">
        <v>62</v>
      </c>
      <c r="B34" s="3">
        <v>46065.0</v>
      </c>
      <c r="C34" s="2" t="s">
        <v>33</v>
      </c>
      <c r="D34" s="2">
        <v>7.0</v>
      </c>
      <c r="E34" s="2">
        <v>197.63</v>
      </c>
      <c r="F34" s="2">
        <v>1383.41</v>
      </c>
      <c r="G34" s="2" t="s">
        <v>26</v>
      </c>
      <c r="H34" s="2" t="s">
        <v>21</v>
      </c>
    </row>
    <row r="35">
      <c r="A35" s="1" t="s">
        <v>63</v>
      </c>
      <c r="B35" s="3">
        <v>46135.0</v>
      </c>
      <c r="C35" s="2" t="s">
        <v>64</v>
      </c>
      <c r="D35" s="2">
        <v>1.0</v>
      </c>
      <c r="E35" s="2">
        <v>153.5</v>
      </c>
      <c r="F35" s="2">
        <v>153.5</v>
      </c>
      <c r="G35" s="2" t="s">
        <v>20</v>
      </c>
      <c r="H35" s="2" t="s">
        <v>11</v>
      </c>
    </row>
    <row r="36">
      <c r="A36" s="1" t="s">
        <v>65</v>
      </c>
      <c r="B36" s="3">
        <v>46201.0</v>
      </c>
      <c r="C36" s="2" t="s">
        <v>19</v>
      </c>
      <c r="D36" s="2">
        <v>4.0</v>
      </c>
      <c r="E36" s="2">
        <v>202.9</v>
      </c>
      <c r="F36" s="2">
        <v>811.6</v>
      </c>
      <c r="G36" s="2" t="s">
        <v>14</v>
      </c>
      <c r="H36" s="2" t="s">
        <v>21</v>
      </c>
    </row>
    <row r="37">
      <c r="A37" s="1" t="s">
        <v>66</v>
      </c>
      <c r="B37" s="3">
        <v>46079.0</v>
      </c>
      <c r="C37" s="2" t="s">
        <v>39</v>
      </c>
      <c r="D37" s="2">
        <v>5.0</v>
      </c>
      <c r="E37" s="2">
        <v>135.96</v>
      </c>
      <c r="F37" s="2">
        <v>679.8</v>
      </c>
      <c r="G37" s="2" t="s">
        <v>23</v>
      </c>
      <c r="H37" s="2" t="s">
        <v>40</v>
      </c>
    </row>
    <row r="38">
      <c r="A38" s="1" t="s">
        <v>67</v>
      </c>
      <c r="B38" s="3">
        <v>46024.0</v>
      </c>
      <c r="C38" s="2" t="s">
        <v>28</v>
      </c>
      <c r="D38" s="2">
        <v>6.0</v>
      </c>
      <c r="E38" s="2">
        <v>74.49</v>
      </c>
      <c r="F38" s="2">
        <v>446.94</v>
      </c>
      <c r="G38" s="2" t="s">
        <v>20</v>
      </c>
      <c r="H38" s="2" t="s">
        <v>40</v>
      </c>
    </row>
    <row r="39">
      <c r="A39" s="1" t="s">
        <v>68</v>
      </c>
      <c r="B39" s="3">
        <v>46055.0</v>
      </c>
      <c r="C39" s="2" t="s">
        <v>39</v>
      </c>
      <c r="D39" s="2">
        <v>4.0</v>
      </c>
      <c r="E39" s="2">
        <v>115.64</v>
      </c>
      <c r="F39" s="2">
        <v>462.56</v>
      </c>
      <c r="G39" s="2" t="s">
        <v>20</v>
      </c>
      <c r="H39" s="2" t="s">
        <v>17</v>
      </c>
    </row>
    <row r="40">
      <c r="A40" s="1" t="s">
        <v>69</v>
      </c>
      <c r="B40" s="3">
        <v>46182.0</v>
      </c>
      <c r="C40" s="2" t="s">
        <v>33</v>
      </c>
      <c r="D40" s="2">
        <v>5.0</v>
      </c>
      <c r="E40" s="2">
        <v>245.5</v>
      </c>
      <c r="F40" s="2">
        <v>1227.5</v>
      </c>
      <c r="G40" s="2" t="s">
        <v>23</v>
      </c>
      <c r="H40" s="2" t="s">
        <v>17</v>
      </c>
    </row>
    <row r="41">
      <c r="A41" s="1" t="s">
        <v>70</v>
      </c>
      <c r="B41" s="3">
        <v>46142.0</v>
      </c>
      <c r="C41" s="2" t="s">
        <v>33</v>
      </c>
      <c r="D41" s="2">
        <v>5.0</v>
      </c>
      <c r="E41" s="2">
        <v>161.72</v>
      </c>
      <c r="F41" s="2">
        <v>808.6</v>
      </c>
      <c r="G41" s="2" t="s">
        <v>23</v>
      </c>
      <c r="H41" s="2" t="s">
        <v>36</v>
      </c>
    </row>
    <row r="42">
      <c r="A42" s="1" t="s">
        <v>71</v>
      </c>
      <c r="B42" s="3">
        <v>46079.0</v>
      </c>
      <c r="C42" s="2" t="s">
        <v>31</v>
      </c>
      <c r="D42" s="2">
        <v>1.0</v>
      </c>
      <c r="E42" s="2">
        <v>213.38</v>
      </c>
      <c r="F42" s="2">
        <v>213.38</v>
      </c>
      <c r="G42" s="2" t="s">
        <v>20</v>
      </c>
      <c r="H42" s="2" t="s">
        <v>11</v>
      </c>
    </row>
    <row r="43">
      <c r="A43" s="1" t="s">
        <v>72</v>
      </c>
      <c r="B43" s="3">
        <v>46151.0</v>
      </c>
      <c r="C43" s="2" t="s">
        <v>28</v>
      </c>
      <c r="D43" s="2">
        <v>3.0</v>
      </c>
      <c r="E43" s="2">
        <v>221.01</v>
      </c>
      <c r="F43" s="2">
        <v>663.03</v>
      </c>
      <c r="G43" s="2" t="s">
        <v>23</v>
      </c>
      <c r="H43" s="2" t="s">
        <v>17</v>
      </c>
    </row>
    <row r="44">
      <c r="A44" s="1" t="s">
        <v>73</v>
      </c>
      <c r="B44" s="3">
        <v>46165.0</v>
      </c>
      <c r="C44" s="2" t="s">
        <v>19</v>
      </c>
      <c r="D44" s="2">
        <v>4.0</v>
      </c>
      <c r="E44" s="2">
        <v>158.95</v>
      </c>
      <c r="F44" s="2">
        <v>635.8</v>
      </c>
      <c r="G44" s="2" t="s">
        <v>10</v>
      </c>
      <c r="H44" s="2" t="s">
        <v>17</v>
      </c>
    </row>
    <row r="45">
      <c r="A45" s="1" t="s">
        <v>74</v>
      </c>
      <c r="B45" s="3">
        <v>46054.0</v>
      </c>
      <c r="C45" s="2" t="s">
        <v>28</v>
      </c>
      <c r="D45" s="2">
        <v>5.0</v>
      </c>
      <c r="E45" s="2">
        <v>37.47</v>
      </c>
      <c r="F45" s="2">
        <v>187.35</v>
      </c>
      <c r="G45" s="2" t="s">
        <v>26</v>
      </c>
      <c r="H45" s="2" t="s">
        <v>21</v>
      </c>
    </row>
    <row r="46">
      <c r="A46" s="1" t="s">
        <v>75</v>
      </c>
      <c r="B46" s="3">
        <v>46114.0</v>
      </c>
      <c r="C46" s="2" t="s">
        <v>39</v>
      </c>
      <c r="D46" s="2">
        <v>7.0</v>
      </c>
      <c r="E46" s="2">
        <v>124.94</v>
      </c>
      <c r="F46" s="2">
        <v>874.58</v>
      </c>
      <c r="G46" s="2" t="s">
        <v>14</v>
      </c>
      <c r="H46" s="2" t="s">
        <v>11</v>
      </c>
    </row>
    <row r="47">
      <c r="A47" s="1" t="s">
        <v>76</v>
      </c>
      <c r="B47" s="3">
        <v>46153.0</v>
      </c>
      <c r="C47" s="2" t="s">
        <v>16</v>
      </c>
      <c r="D47" s="2">
        <v>1.0</v>
      </c>
      <c r="E47" s="2">
        <v>80.58</v>
      </c>
      <c r="F47" s="2">
        <v>80.58</v>
      </c>
      <c r="G47" s="2" t="s">
        <v>26</v>
      </c>
      <c r="H47" s="2" t="s">
        <v>40</v>
      </c>
    </row>
    <row r="48">
      <c r="A48" s="1" t="s">
        <v>77</v>
      </c>
      <c r="B48" s="3">
        <v>46052.0</v>
      </c>
      <c r="C48" s="2" t="s">
        <v>44</v>
      </c>
      <c r="D48" s="2">
        <v>7.0</v>
      </c>
      <c r="E48" s="2">
        <v>143.93</v>
      </c>
      <c r="F48" s="2">
        <v>1007.51</v>
      </c>
      <c r="G48" s="2" t="s">
        <v>20</v>
      </c>
      <c r="H48" s="2" t="s">
        <v>11</v>
      </c>
    </row>
    <row r="49">
      <c r="A49" s="1" t="s">
        <v>78</v>
      </c>
      <c r="B49" s="3">
        <v>46026.0</v>
      </c>
      <c r="C49" s="2" t="s">
        <v>35</v>
      </c>
      <c r="D49" s="2">
        <v>1.0</v>
      </c>
      <c r="E49" s="2">
        <v>151.12</v>
      </c>
      <c r="F49" s="2">
        <v>151.12</v>
      </c>
      <c r="G49" s="2" t="s">
        <v>26</v>
      </c>
      <c r="H49" s="2" t="s">
        <v>29</v>
      </c>
    </row>
    <row r="50">
      <c r="A50" s="1" t="s">
        <v>79</v>
      </c>
      <c r="B50" s="3">
        <v>46124.0</v>
      </c>
      <c r="C50" s="2" t="s">
        <v>28</v>
      </c>
      <c r="D50" s="2">
        <v>4.0</v>
      </c>
      <c r="E50" s="2">
        <v>84.27</v>
      </c>
      <c r="F50" s="2">
        <v>337.08</v>
      </c>
      <c r="G50" s="2" t="s">
        <v>14</v>
      </c>
      <c r="H50" s="2" t="s">
        <v>21</v>
      </c>
    </row>
    <row r="51">
      <c r="A51" s="1" t="s">
        <v>80</v>
      </c>
      <c r="B51" s="3">
        <v>46049.0</v>
      </c>
      <c r="C51" s="2" t="s">
        <v>39</v>
      </c>
      <c r="D51" s="2">
        <v>1.0</v>
      </c>
      <c r="E51" s="2">
        <v>96.96</v>
      </c>
      <c r="F51" s="2">
        <v>96.96</v>
      </c>
      <c r="G51" s="2" t="s">
        <v>10</v>
      </c>
      <c r="H51" s="2" t="s">
        <v>11</v>
      </c>
    </row>
    <row r="52">
      <c r="A52" s="1" t="s">
        <v>81</v>
      </c>
      <c r="B52" s="3">
        <v>46038.0</v>
      </c>
      <c r="C52" s="2" t="s">
        <v>35</v>
      </c>
      <c r="D52" s="2">
        <v>7.0</v>
      </c>
      <c r="E52" s="2">
        <v>155.39</v>
      </c>
      <c r="F52" s="2">
        <v>1087.73</v>
      </c>
      <c r="G52" s="2" t="s">
        <v>23</v>
      </c>
      <c r="H52" s="2" t="s">
        <v>21</v>
      </c>
    </row>
    <row r="53">
      <c r="A53" s="1" t="s">
        <v>82</v>
      </c>
      <c r="B53" s="3">
        <v>46085.0</v>
      </c>
      <c r="C53" s="2" t="s">
        <v>9</v>
      </c>
      <c r="D53" s="2">
        <v>3.0</v>
      </c>
      <c r="E53" s="2">
        <v>125.54</v>
      </c>
      <c r="F53" s="2">
        <v>376.62</v>
      </c>
      <c r="G53" s="2" t="s">
        <v>20</v>
      </c>
      <c r="H53" s="2" t="s">
        <v>11</v>
      </c>
    </row>
    <row r="54">
      <c r="A54" s="1" t="s">
        <v>83</v>
      </c>
      <c r="B54" s="3">
        <v>46103.0</v>
      </c>
      <c r="C54" s="2" t="s">
        <v>35</v>
      </c>
      <c r="D54" s="2">
        <v>5.0</v>
      </c>
      <c r="E54" s="2">
        <v>70.79</v>
      </c>
      <c r="F54" s="2">
        <v>353.95</v>
      </c>
      <c r="G54" s="2" t="s">
        <v>20</v>
      </c>
      <c r="H54" s="2" t="s">
        <v>29</v>
      </c>
    </row>
    <row r="55">
      <c r="A55" s="1" t="s">
        <v>84</v>
      </c>
      <c r="B55" s="3">
        <v>46151.0</v>
      </c>
      <c r="C55" s="2" t="s">
        <v>31</v>
      </c>
      <c r="D55" s="2">
        <v>6.0</v>
      </c>
      <c r="E55" s="2">
        <v>204.83</v>
      </c>
      <c r="F55" s="2">
        <v>1228.98</v>
      </c>
      <c r="G55" s="2" t="s">
        <v>23</v>
      </c>
      <c r="H55" s="2" t="s">
        <v>11</v>
      </c>
    </row>
    <row r="56">
      <c r="A56" s="1" t="s">
        <v>85</v>
      </c>
      <c r="B56" s="3">
        <v>46196.0</v>
      </c>
      <c r="C56" s="2" t="s">
        <v>44</v>
      </c>
      <c r="D56" s="2">
        <v>8.0</v>
      </c>
      <c r="E56" s="2">
        <v>190.17</v>
      </c>
      <c r="F56" s="2">
        <v>1521.36</v>
      </c>
      <c r="G56" s="2" t="s">
        <v>14</v>
      </c>
      <c r="H56" s="2" t="s">
        <v>11</v>
      </c>
    </row>
    <row r="57">
      <c r="A57" s="1" t="s">
        <v>86</v>
      </c>
      <c r="B57" s="3">
        <v>46182.0</v>
      </c>
      <c r="C57" s="2" t="s">
        <v>64</v>
      </c>
      <c r="D57" s="2">
        <v>7.0</v>
      </c>
      <c r="E57" s="2">
        <v>239.78</v>
      </c>
      <c r="F57" s="2">
        <v>1678.46</v>
      </c>
      <c r="G57" s="2" t="s">
        <v>23</v>
      </c>
      <c r="H57" s="2" t="s">
        <v>11</v>
      </c>
    </row>
    <row r="58">
      <c r="A58" s="1" t="s">
        <v>87</v>
      </c>
      <c r="B58" s="3">
        <v>46115.0</v>
      </c>
      <c r="C58" s="2" t="s">
        <v>39</v>
      </c>
      <c r="D58" s="2">
        <v>8.0</v>
      </c>
      <c r="E58" s="2">
        <v>14.0</v>
      </c>
      <c r="F58" s="2">
        <v>112.0</v>
      </c>
      <c r="G58" s="2" t="s">
        <v>26</v>
      </c>
      <c r="H58" s="2" t="s">
        <v>40</v>
      </c>
    </row>
    <row r="59">
      <c r="A59" s="1" t="s">
        <v>88</v>
      </c>
      <c r="B59" s="3">
        <v>46193.0</v>
      </c>
      <c r="C59" s="2" t="s">
        <v>39</v>
      </c>
      <c r="D59" s="2">
        <v>2.0</v>
      </c>
      <c r="E59" s="2">
        <v>191.22</v>
      </c>
      <c r="F59" s="2">
        <v>382.44</v>
      </c>
      <c r="G59" s="2" t="s">
        <v>23</v>
      </c>
      <c r="H59" s="2" t="s">
        <v>29</v>
      </c>
    </row>
    <row r="60">
      <c r="A60" s="1" t="s">
        <v>89</v>
      </c>
      <c r="B60" s="3">
        <v>46184.0</v>
      </c>
      <c r="C60" s="2" t="s">
        <v>19</v>
      </c>
      <c r="D60" s="2">
        <v>2.0</v>
      </c>
      <c r="E60" s="2">
        <v>183.47</v>
      </c>
      <c r="F60" s="2">
        <v>366.94</v>
      </c>
      <c r="G60" s="2" t="s">
        <v>26</v>
      </c>
      <c r="H60" s="2" t="s">
        <v>29</v>
      </c>
    </row>
    <row r="61">
      <c r="A61" s="1" t="s">
        <v>90</v>
      </c>
      <c r="B61" s="3">
        <v>46185.0</v>
      </c>
      <c r="C61" s="2" t="s">
        <v>64</v>
      </c>
      <c r="D61" s="2">
        <v>2.0</v>
      </c>
      <c r="E61" s="2">
        <v>36.29</v>
      </c>
      <c r="F61" s="2">
        <v>72.58</v>
      </c>
      <c r="G61" s="2" t="s">
        <v>14</v>
      </c>
      <c r="H61" s="2" t="s">
        <v>36</v>
      </c>
    </row>
    <row r="62">
      <c r="A62" s="1" t="s">
        <v>91</v>
      </c>
      <c r="B62" s="3">
        <v>46139.0</v>
      </c>
      <c r="C62" s="2" t="s">
        <v>28</v>
      </c>
      <c r="D62" s="2">
        <v>7.0</v>
      </c>
      <c r="E62" s="2">
        <v>208.15</v>
      </c>
      <c r="F62" s="2">
        <v>1457.05</v>
      </c>
      <c r="G62" s="2" t="s">
        <v>10</v>
      </c>
      <c r="H62" s="2" t="s">
        <v>29</v>
      </c>
    </row>
    <row r="63">
      <c r="A63" s="1" t="s">
        <v>92</v>
      </c>
      <c r="B63" s="3">
        <v>46032.0</v>
      </c>
      <c r="C63" s="2" t="s">
        <v>33</v>
      </c>
      <c r="D63" s="2">
        <v>5.0</v>
      </c>
      <c r="E63" s="2">
        <v>103.77</v>
      </c>
      <c r="F63" s="2">
        <v>518.85</v>
      </c>
      <c r="G63" s="2" t="s">
        <v>20</v>
      </c>
      <c r="H63" s="2" t="s">
        <v>17</v>
      </c>
    </row>
    <row r="64">
      <c r="A64" s="1" t="s">
        <v>93</v>
      </c>
      <c r="B64" s="3">
        <v>46113.0</v>
      </c>
      <c r="C64" s="2" t="s">
        <v>28</v>
      </c>
      <c r="D64" s="2">
        <v>7.0</v>
      </c>
      <c r="E64" s="2">
        <v>229.06</v>
      </c>
      <c r="F64" s="2">
        <v>1603.42</v>
      </c>
      <c r="G64" s="2" t="s">
        <v>20</v>
      </c>
      <c r="H64" s="2" t="s">
        <v>17</v>
      </c>
    </row>
    <row r="65">
      <c r="A65" s="1" t="s">
        <v>94</v>
      </c>
      <c r="B65" s="3">
        <v>46183.0</v>
      </c>
      <c r="C65" s="2" t="s">
        <v>44</v>
      </c>
      <c r="D65" s="2">
        <v>6.0</v>
      </c>
      <c r="E65" s="2">
        <v>132.61</v>
      </c>
      <c r="F65" s="2">
        <v>795.66</v>
      </c>
      <c r="G65" s="2" t="s">
        <v>14</v>
      </c>
      <c r="H65" s="2" t="s">
        <v>36</v>
      </c>
    </row>
    <row r="66">
      <c r="A66" s="1" t="s">
        <v>95</v>
      </c>
      <c r="B66" s="3">
        <v>46196.0</v>
      </c>
      <c r="C66" s="2" t="s">
        <v>39</v>
      </c>
      <c r="D66" s="2">
        <v>7.0</v>
      </c>
      <c r="E66" s="2">
        <v>213.29</v>
      </c>
      <c r="F66" s="2">
        <v>1493.03</v>
      </c>
      <c r="G66" s="2" t="s">
        <v>23</v>
      </c>
      <c r="H66" s="2" t="s">
        <v>21</v>
      </c>
    </row>
    <row r="67">
      <c r="A67" s="1" t="s">
        <v>96</v>
      </c>
      <c r="B67" s="3">
        <v>46169.0</v>
      </c>
      <c r="C67" s="2" t="s">
        <v>35</v>
      </c>
      <c r="D67" s="2">
        <v>4.0</v>
      </c>
      <c r="E67" s="2">
        <v>105.37</v>
      </c>
      <c r="F67" s="2">
        <v>421.48</v>
      </c>
      <c r="G67" s="2" t="s">
        <v>14</v>
      </c>
      <c r="H67" s="2" t="s">
        <v>40</v>
      </c>
    </row>
    <row r="68">
      <c r="A68" s="1" t="s">
        <v>97</v>
      </c>
      <c r="B68" s="3">
        <v>46071.0</v>
      </c>
      <c r="C68" s="2" t="s">
        <v>31</v>
      </c>
      <c r="D68" s="2">
        <v>1.0</v>
      </c>
      <c r="E68" s="2">
        <v>55.16</v>
      </c>
      <c r="F68" s="2">
        <v>55.16</v>
      </c>
      <c r="G68" s="2" t="s">
        <v>26</v>
      </c>
      <c r="H68" s="2" t="s">
        <v>40</v>
      </c>
    </row>
    <row r="69">
      <c r="A69" s="1" t="s">
        <v>98</v>
      </c>
      <c r="B69" s="3">
        <v>46098.0</v>
      </c>
      <c r="C69" s="2" t="s">
        <v>31</v>
      </c>
      <c r="D69" s="2">
        <v>8.0</v>
      </c>
      <c r="E69" s="2">
        <v>150.91</v>
      </c>
      <c r="F69" s="2">
        <v>1207.28</v>
      </c>
      <c r="G69" s="2" t="s">
        <v>10</v>
      </c>
      <c r="H69" s="2" t="s">
        <v>36</v>
      </c>
    </row>
    <row r="70">
      <c r="A70" s="1" t="s">
        <v>99</v>
      </c>
      <c r="B70" s="3">
        <v>46137.0</v>
      </c>
      <c r="C70" s="2" t="s">
        <v>44</v>
      </c>
      <c r="D70" s="2">
        <v>8.0</v>
      </c>
      <c r="E70" s="2">
        <v>55.16</v>
      </c>
      <c r="F70" s="2">
        <v>441.28</v>
      </c>
      <c r="G70" s="2" t="s">
        <v>10</v>
      </c>
      <c r="H70" s="2" t="s">
        <v>17</v>
      </c>
    </row>
    <row r="71">
      <c r="A71" s="1" t="s">
        <v>100</v>
      </c>
      <c r="B71" s="3">
        <v>46147.0</v>
      </c>
      <c r="C71" s="2" t="s">
        <v>33</v>
      </c>
      <c r="D71" s="2">
        <v>8.0</v>
      </c>
      <c r="E71" s="2">
        <v>114.94</v>
      </c>
      <c r="F71" s="2">
        <v>919.52</v>
      </c>
      <c r="G71" s="2" t="s">
        <v>26</v>
      </c>
      <c r="H71" s="2" t="s">
        <v>29</v>
      </c>
    </row>
    <row r="72">
      <c r="A72" s="1" t="s">
        <v>101</v>
      </c>
      <c r="B72" s="3">
        <v>46043.0</v>
      </c>
      <c r="C72" s="2" t="s">
        <v>44</v>
      </c>
      <c r="D72" s="2">
        <v>7.0</v>
      </c>
      <c r="E72" s="2">
        <v>123.53</v>
      </c>
      <c r="F72" s="2">
        <v>864.71</v>
      </c>
      <c r="G72" s="2" t="s">
        <v>20</v>
      </c>
      <c r="H72" s="2" t="s">
        <v>36</v>
      </c>
    </row>
    <row r="73">
      <c r="A73" s="1" t="s">
        <v>102</v>
      </c>
      <c r="B73" s="3">
        <v>46133.0</v>
      </c>
      <c r="C73" s="2" t="s">
        <v>9</v>
      </c>
      <c r="D73" s="2">
        <v>6.0</v>
      </c>
      <c r="E73" s="2">
        <v>106.03</v>
      </c>
      <c r="F73" s="2">
        <v>636.18</v>
      </c>
      <c r="G73" s="2" t="s">
        <v>10</v>
      </c>
      <c r="H73" s="2" t="s">
        <v>29</v>
      </c>
    </row>
    <row r="74">
      <c r="A74" s="1" t="s">
        <v>103</v>
      </c>
      <c r="B74" s="3">
        <v>46069.0</v>
      </c>
      <c r="C74" s="2" t="s">
        <v>39</v>
      </c>
      <c r="D74" s="2">
        <v>8.0</v>
      </c>
      <c r="E74" s="2">
        <v>179.22</v>
      </c>
      <c r="F74" s="2">
        <v>1433.76</v>
      </c>
      <c r="G74" s="2" t="s">
        <v>23</v>
      </c>
      <c r="H74" s="2" t="s">
        <v>29</v>
      </c>
    </row>
    <row r="75">
      <c r="A75" s="1" t="s">
        <v>104</v>
      </c>
      <c r="B75" s="3">
        <v>46133.0</v>
      </c>
      <c r="C75" s="2" t="s">
        <v>33</v>
      </c>
      <c r="D75" s="2">
        <v>7.0</v>
      </c>
      <c r="E75" s="2">
        <v>162.66</v>
      </c>
      <c r="F75" s="2">
        <v>1138.62</v>
      </c>
      <c r="G75" s="2" t="s">
        <v>10</v>
      </c>
      <c r="H75" s="2" t="s">
        <v>40</v>
      </c>
    </row>
    <row r="76">
      <c r="A76" s="1" t="s">
        <v>105</v>
      </c>
      <c r="B76" s="3">
        <v>46144.0</v>
      </c>
      <c r="C76" s="2" t="s">
        <v>35</v>
      </c>
      <c r="D76" s="2">
        <v>5.0</v>
      </c>
      <c r="E76" s="2">
        <v>207.98</v>
      </c>
      <c r="F76" s="2">
        <v>1039.9</v>
      </c>
      <c r="G76" s="2" t="s">
        <v>26</v>
      </c>
      <c r="H76" s="2" t="s">
        <v>11</v>
      </c>
    </row>
    <row r="77">
      <c r="A77" s="1" t="s">
        <v>106</v>
      </c>
      <c r="B77" s="3">
        <v>46160.0</v>
      </c>
      <c r="C77" s="2" t="s">
        <v>64</v>
      </c>
      <c r="D77" s="2">
        <v>7.0</v>
      </c>
      <c r="E77" s="2">
        <v>123.91</v>
      </c>
      <c r="F77" s="2">
        <v>867.37</v>
      </c>
      <c r="G77" s="2" t="s">
        <v>10</v>
      </c>
      <c r="H77" s="2" t="s">
        <v>11</v>
      </c>
    </row>
    <row r="78">
      <c r="A78" s="1" t="s">
        <v>107</v>
      </c>
      <c r="B78" s="3">
        <v>46158.0</v>
      </c>
      <c r="C78" s="2" t="s">
        <v>19</v>
      </c>
      <c r="D78" s="2">
        <v>4.0</v>
      </c>
      <c r="E78" s="2">
        <v>134.83</v>
      </c>
      <c r="F78" s="2">
        <v>539.32</v>
      </c>
      <c r="G78" s="2" t="s">
        <v>23</v>
      </c>
      <c r="H78" s="2" t="s">
        <v>29</v>
      </c>
    </row>
    <row r="79">
      <c r="A79" s="1" t="s">
        <v>108</v>
      </c>
      <c r="B79" s="3">
        <v>46163.0</v>
      </c>
      <c r="C79" s="2" t="s">
        <v>31</v>
      </c>
      <c r="D79" s="2">
        <v>6.0</v>
      </c>
      <c r="E79" s="2">
        <v>80.19</v>
      </c>
      <c r="F79" s="2">
        <v>481.14</v>
      </c>
      <c r="G79" s="2" t="s">
        <v>10</v>
      </c>
      <c r="H79" s="2" t="s">
        <v>21</v>
      </c>
    </row>
    <row r="80">
      <c r="A80" s="1" t="s">
        <v>109</v>
      </c>
      <c r="B80" s="3">
        <v>46116.0</v>
      </c>
      <c r="C80" s="2" t="s">
        <v>16</v>
      </c>
      <c r="D80" s="2">
        <v>6.0</v>
      </c>
      <c r="E80" s="2">
        <v>45.83</v>
      </c>
      <c r="F80" s="2">
        <v>274.98</v>
      </c>
      <c r="G80" s="2" t="s">
        <v>10</v>
      </c>
      <c r="H80" s="2" t="s">
        <v>21</v>
      </c>
    </row>
    <row r="81">
      <c r="A81" s="1" t="s">
        <v>110</v>
      </c>
      <c r="B81" s="3">
        <v>46093.0</v>
      </c>
      <c r="C81" s="2" t="s">
        <v>28</v>
      </c>
      <c r="D81" s="2">
        <v>7.0</v>
      </c>
      <c r="E81" s="2">
        <v>97.22</v>
      </c>
      <c r="F81" s="2">
        <v>680.54</v>
      </c>
      <c r="G81" s="2" t="s">
        <v>26</v>
      </c>
      <c r="H81" s="2" t="s">
        <v>40</v>
      </c>
    </row>
    <row r="82">
      <c r="A82" s="1" t="s">
        <v>111</v>
      </c>
      <c r="B82" s="3">
        <v>46100.0</v>
      </c>
      <c r="C82" s="2" t="s">
        <v>35</v>
      </c>
      <c r="D82" s="2">
        <v>7.0</v>
      </c>
      <c r="E82" s="2">
        <v>145.34</v>
      </c>
      <c r="F82" s="2">
        <v>1017.38</v>
      </c>
      <c r="G82" s="2" t="s">
        <v>14</v>
      </c>
      <c r="H82" s="2" t="s">
        <v>40</v>
      </c>
    </row>
    <row r="83">
      <c r="A83" s="1" t="s">
        <v>112</v>
      </c>
      <c r="B83" s="3">
        <v>46045.0</v>
      </c>
      <c r="C83" s="2" t="s">
        <v>13</v>
      </c>
      <c r="D83" s="2">
        <v>1.0</v>
      </c>
      <c r="E83" s="2">
        <v>78.43</v>
      </c>
      <c r="F83" s="2">
        <v>78.43</v>
      </c>
      <c r="G83" s="2" t="s">
        <v>20</v>
      </c>
      <c r="H83" s="2" t="s">
        <v>17</v>
      </c>
    </row>
    <row r="84">
      <c r="A84" s="1" t="s">
        <v>113</v>
      </c>
      <c r="B84" s="3">
        <v>46075.0</v>
      </c>
      <c r="C84" s="2" t="s">
        <v>35</v>
      </c>
      <c r="D84" s="2">
        <v>4.0</v>
      </c>
      <c r="E84" s="2">
        <v>24.31</v>
      </c>
      <c r="F84" s="2">
        <v>97.24</v>
      </c>
      <c r="G84" s="2" t="s">
        <v>14</v>
      </c>
      <c r="H84" s="2" t="s">
        <v>36</v>
      </c>
    </row>
    <row r="85">
      <c r="A85" s="1" t="s">
        <v>114</v>
      </c>
      <c r="B85" s="3">
        <v>46173.0</v>
      </c>
      <c r="C85" s="2" t="s">
        <v>25</v>
      </c>
      <c r="D85" s="2">
        <v>3.0</v>
      </c>
      <c r="E85" s="2">
        <v>110.73</v>
      </c>
      <c r="F85" s="2">
        <v>332.19</v>
      </c>
      <c r="G85" s="2" t="s">
        <v>26</v>
      </c>
      <c r="H85" s="2" t="s">
        <v>11</v>
      </c>
    </row>
    <row r="86">
      <c r="A86" s="1" t="s">
        <v>115</v>
      </c>
      <c r="B86" s="3">
        <v>46102.0</v>
      </c>
      <c r="C86" s="2" t="s">
        <v>44</v>
      </c>
      <c r="D86" s="2">
        <v>1.0</v>
      </c>
      <c r="E86" s="2">
        <v>211.31</v>
      </c>
      <c r="F86" s="2">
        <v>211.31</v>
      </c>
      <c r="G86" s="2" t="s">
        <v>23</v>
      </c>
      <c r="H86" s="2" t="s">
        <v>40</v>
      </c>
    </row>
    <row r="87">
      <c r="A87" s="1" t="s">
        <v>116</v>
      </c>
      <c r="B87" s="3">
        <v>46025.0</v>
      </c>
      <c r="C87" s="2" t="s">
        <v>19</v>
      </c>
      <c r="D87" s="2">
        <v>6.0</v>
      </c>
      <c r="E87" s="2">
        <v>129.28</v>
      </c>
      <c r="F87" s="2">
        <v>775.68</v>
      </c>
      <c r="G87" s="2" t="s">
        <v>14</v>
      </c>
      <c r="H87" s="2" t="s">
        <v>17</v>
      </c>
    </row>
    <row r="88">
      <c r="A88" s="1" t="s">
        <v>117</v>
      </c>
      <c r="B88" s="3">
        <v>46154.0</v>
      </c>
      <c r="C88" s="2" t="s">
        <v>19</v>
      </c>
      <c r="D88" s="2">
        <v>6.0</v>
      </c>
      <c r="E88" s="2">
        <v>119.41</v>
      </c>
      <c r="F88" s="2">
        <v>716.46</v>
      </c>
      <c r="G88" s="2" t="s">
        <v>20</v>
      </c>
      <c r="H88" s="2" t="s">
        <v>40</v>
      </c>
    </row>
    <row r="89">
      <c r="A89" s="1" t="s">
        <v>118</v>
      </c>
      <c r="B89" s="3">
        <v>46088.0</v>
      </c>
      <c r="C89" s="2" t="s">
        <v>28</v>
      </c>
      <c r="D89" s="2">
        <v>5.0</v>
      </c>
      <c r="E89" s="2">
        <v>247.06</v>
      </c>
      <c r="F89" s="2">
        <v>1235.3</v>
      </c>
      <c r="G89" s="2" t="s">
        <v>23</v>
      </c>
      <c r="H89" s="2" t="s">
        <v>29</v>
      </c>
    </row>
    <row r="90">
      <c r="A90" s="1" t="s">
        <v>119</v>
      </c>
      <c r="B90" s="3">
        <v>46199.0</v>
      </c>
      <c r="C90" s="2" t="s">
        <v>44</v>
      </c>
      <c r="D90" s="2">
        <v>8.0</v>
      </c>
      <c r="E90" s="2">
        <v>70.14</v>
      </c>
      <c r="F90" s="2">
        <v>561.12</v>
      </c>
      <c r="G90" s="2" t="s">
        <v>14</v>
      </c>
      <c r="H90" s="2" t="s">
        <v>17</v>
      </c>
    </row>
    <row r="91">
      <c r="A91" s="1" t="s">
        <v>120</v>
      </c>
      <c r="B91" s="3">
        <v>46058.0</v>
      </c>
      <c r="C91" s="2" t="s">
        <v>33</v>
      </c>
      <c r="D91" s="2">
        <v>8.0</v>
      </c>
      <c r="E91" s="2">
        <v>190.32</v>
      </c>
      <c r="F91" s="2">
        <v>1522.56</v>
      </c>
      <c r="G91" s="2" t="s">
        <v>26</v>
      </c>
      <c r="H91" s="2" t="s">
        <v>29</v>
      </c>
    </row>
    <row r="92">
      <c r="A92" s="1" t="s">
        <v>121</v>
      </c>
      <c r="B92" s="3">
        <v>46138.0</v>
      </c>
      <c r="C92" s="2" t="s">
        <v>33</v>
      </c>
      <c r="D92" s="2">
        <v>2.0</v>
      </c>
      <c r="E92" s="2">
        <v>47.23</v>
      </c>
      <c r="F92" s="2">
        <v>94.46</v>
      </c>
      <c r="G92" s="2" t="s">
        <v>23</v>
      </c>
      <c r="H92" s="2" t="s">
        <v>11</v>
      </c>
    </row>
    <row r="93">
      <c r="A93" s="1" t="s">
        <v>122</v>
      </c>
      <c r="B93" s="3">
        <v>46142.0</v>
      </c>
      <c r="C93" s="2" t="s">
        <v>39</v>
      </c>
      <c r="D93" s="2">
        <v>2.0</v>
      </c>
      <c r="E93" s="2">
        <v>129.16</v>
      </c>
      <c r="F93" s="2">
        <v>258.32</v>
      </c>
      <c r="G93" s="2" t="s">
        <v>20</v>
      </c>
      <c r="H93" s="2" t="s">
        <v>11</v>
      </c>
    </row>
    <row r="94">
      <c r="A94" s="1" t="s">
        <v>123</v>
      </c>
      <c r="B94" s="3">
        <v>46105.0</v>
      </c>
      <c r="C94" s="2" t="s">
        <v>39</v>
      </c>
      <c r="D94" s="2">
        <v>4.0</v>
      </c>
      <c r="E94" s="2">
        <v>204.21</v>
      </c>
      <c r="F94" s="2">
        <v>816.84</v>
      </c>
      <c r="G94" s="2" t="s">
        <v>10</v>
      </c>
      <c r="H94" s="2" t="s">
        <v>36</v>
      </c>
    </row>
    <row r="95">
      <c r="A95" s="1" t="s">
        <v>124</v>
      </c>
      <c r="B95" s="3">
        <v>46096.0</v>
      </c>
      <c r="C95" s="2" t="s">
        <v>31</v>
      </c>
      <c r="D95" s="2">
        <v>7.0</v>
      </c>
      <c r="E95" s="2">
        <v>101.14</v>
      </c>
      <c r="F95" s="2">
        <v>707.98</v>
      </c>
      <c r="G95" s="2" t="s">
        <v>23</v>
      </c>
      <c r="H95" s="2" t="s">
        <v>17</v>
      </c>
    </row>
    <row r="96">
      <c r="A96" s="1" t="s">
        <v>125</v>
      </c>
      <c r="B96" s="3">
        <v>46185.0</v>
      </c>
      <c r="C96" s="2" t="s">
        <v>19</v>
      </c>
      <c r="D96" s="2">
        <v>4.0</v>
      </c>
      <c r="E96" s="2">
        <v>87.02</v>
      </c>
      <c r="F96" s="2">
        <v>348.08</v>
      </c>
      <c r="G96" s="2" t="s">
        <v>26</v>
      </c>
      <c r="H96" s="2" t="s">
        <v>29</v>
      </c>
    </row>
    <row r="97">
      <c r="A97" s="1" t="s">
        <v>126</v>
      </c>
      <c r="B97" s="3">
        <v>46036.0</v>
      </c>
      <c r="C97" s="2" t="s">
        <v>13</v>
      </c>
      <c r="D97" s="2">
        <v>3.0</v>
      </c>
      <c r="E97" s="2">
        <v>95.05</v>
      </c>
      <c r="F97" s="2">
        <v>285.15</v>
      </c>
      <c r="G97" s="2" t="s">
        <v>10</v>
      </c>
      <c r="H97" s="2" t="s">
        <v>21</v>
      </c>
    </row>
    <row r="98">
      <c r="A98" s="1" t="s">
        <v>127</v>
      </c>
      <c r="B98" s="3">
        <v>46028.0</v>
      </c>
      <c r="C98" s="2" t="s">
        <v>19</v>
      </c>
      <c r="D98" s="2">
        <v>2.0</v>
      </c>
      <c r="E98" s="2">
        <v>157.18</v>
      </c>
      <c r="F98" s="2">
        <v>314.36</v>
      </c>
      <c r="G98" s="2" t="s">
        <v>20</v>
      </c>
      <c r="H98" s="2" t="s">
        <v>11</v>
      </c>
    </row>
    <row r="99">
      <c r="A99" s="1" t="s">
        <v>128</v>
      </c>
      <c r="B99" s="3">
        <v>46184.0</v>
      </c>
      <c r="C99" s="2" t="s">
        <v>9</v>
      </c>
      <c r="D99" s="2">
        <v>7.0</v>
      </c>
      <c r="E99" s="2">
        <v>200.15</v>
      </c>
      <c r="F99" s="2">
        <v>1401.05</v>
      </c>
      <c r="G99" s="2" t="s">
        <v>14</v>
      </c>
      <c r="H99" s="2" t="s">
        <v>21</v>
      </c>
    </row>
    <row r="100">
      <c r="A100" s="1" t="s">
        <v>129</v>
      </c>
      <c r="B100" s="3">
        <v>46121.0</v>
      </c>
      <c r="C100" s="2" t="s">
        <v>44</v>
      </c>
      <c r="D100" s="2">
        <v>8.0</v>
      </c>
      <c r="E100" s="2">
        <v>211.02</v>
      </c>
      <c r="F100" s="2">
        <v>1688.16</v>
      </c>
      <c r="G100" s="2" t="s">
        <v>14</v>
      </c>
      <c r="H100" s="2" t="s">
        <v>36</v>
      </c>
    </row>
    <row r="101">
      <c r="A101" s="1" t="s">
        <v>130</v>
      </c>
      <c r="B101" s="3">
        <v>46170.0</v>
      </c>
      <c r="C101" s="2" t="s">
        <v>25</v>
      </c>
      <c r="D101" s="2">
        <v>6.0</v>
      </c>
      <c r="E101" s="2">
        <v>95.39</v>
      </c>
      <c r="F101" s="2">
        <v>572.34</v>
      </c>
      <c r="G101" s="2" t="s">
        <v>10</v>
      </c>
      <c r="H101" s="2" t="s">
        <v>21</v>
      </c>
    </row>
    <row r="102">
      <c r="A102" s="1" t="s">
        <v>131</v>
      </c>
      <c r="B102" s="3">
        <v>46120.0</v>
      </c>
      <c r="C102" s="2" t="s">
        <v>64</v>
      </c>
      <c r="D102" s="2">
        <v>3.0</v>
      </c>
      <c r="E102" s="2">
        <v>174.42</v>
      </c>
      <c r="F102" s="2">
        <v>523.26</v>
      </c>
      <c r="G102" s="2" t="s">
        <v>20</v>
      </c>
      <c r="H102" s="2" t="s">
        <v>36</v>
      </c>
    </row>
    <row r="103">
      <c r="A103" s="1" t="s">
        <v>132</v>
      </c>
      <c r="B103" s="3">
        <v>46151.0</v>
      </c>
      <c r="C103" s="2" t="s">
        <v>28</v>
      </c>
      <c r="D103" s="2">
        <v>3.0</v>
      </c>
      <c r="E103" s="2">
        <v>20.42</v>
      </c>
      <c r="F103" s="2">
        <v>61.26</v>
      </c>
      <c r="G103" s="2" t="s">
        <v>10</v>
      </c>
      <c r="H103" s="2" t="s">
        <v>36</v>
      </c>
    </row>
    <row r="104">
      <c r="A104" s="1" t="s">
        <v>133</v>
      </c>
      <c r="B104" s="3">
        <v>46114.0</v>
      </c>
      <c r="C104" s="2" t="s">
        <v>31</v>
      </c>
      <c r="D104" s="2">
        <v>2.0</v>
      </c>
      <c r="E104" s="2">
        <v>147.5</v>
      </c>
      <c r="F104" s="2">
        <v>295.0</v>
      </c>
      <c r="G104" s="2" t="s">
        <v>10</v>
      </c>
      <c r="H104" s="2" t="s">
        <v>40</v>
      </c>
    </row>
    <row r="105">
      <c r="A105" s="1" t="s">
        <v>134</v>
      </c>
      <c r="B105" s="3">
        <v>46070.0</v>
      </c>
      <c r="C105" s="2" t="s">
        <v>64</v>
      </c>
      <c r="D105" s="2">
        <v>5.0</v>
      </c>
      <c r="E105" s="2">
        <v>145.81</v>
      </c>
      <c r="F105" s="2">
        <v>729.05</v>
      </c>
      <c r="G105" s="2" t="s">
        <v>10</v>
      </c>
      <c r="H105" s="2" t="s">
        <v>40</v>
      </c>
    </row>
    <row r="106">
      <c r="A106" s="1" t="s">
        <v>135</v>
      </c>
      <c r="B106" s="3">
        <v>46058.0</v>
      </c>
      <c r="C106" s="2" t="s">
        <v>33</v>
      </c>
      <c r="D106" s="2">
        <v>8.0</v>
      </c>
      <c r="E106" s="2">
        <v>199.7</v>
      </c>
      <c r="F106" s="2">
        <v>1597.6</v>
      </c>
      <c r="G106" s="2" t="s">
        <v>14</v>
      </c>
      <c r="H106" s="2" t="s">
        <v>17</v>
      </c>
    </row>
    <row r="107">
      <c r="A107" s="1" t="s">
        <v>136</v>
      </c>
      <c r="B107" s="3">
        <v>46197.0</v>
      </c>
      <c r="C107" s="2" t="s">
        <v>9</v>
      </c>
      <c r="D107" s="2">
        <v>1.0</v>
      </c>
      <c r="E107" s="2">
        <v>136.09</v>
      </c>
      <c r="F107" s="2">
        <v>136.09</v>
      </c>
      <c r="G107" s="2" t="s">
        <v>10</v>
      </c>
      <c r="H107" s="2" t="s">
        <v>17</v>
      </c>
    </row>
    <row r="108">
      <c r="A108" s="1" t="s">
        <v>137</v>
      </c>
      <c r="B108" s="3">
        <v>46198.0</v>
      </c>
      <c r="C108" s="2" t="s">
        <v>33</v>
      </c>
      <c r="D108" s="2">
        <v>5.0</v>
      </c>
      <c r="E108" s="2">
        <v>199.37</v>
      </c>
      <c r="F108" s="2">
        <v>996.85</v>
      </c>
      <c r="G108" s="2" t="s">
        <v>26</v>
      </c>
      <c r="H108" s="2" t="s">
        <v>17</v>
      </c>
    </row>
    <row r="109">
      <c r="A109" s="1" t="s">
        <v>138</v>
      </c>
      <c r="B109" s="3">
        <v>46112.0</v>
      </c>
      <c r="C109" s="2" t="s">
        <v>35</v>
      </c>
      <c r="D109" s="2">
        <v>5.0</v>
      </c>
      <c r="E109" s="2">
        <v>21.33</v>
      </c>
      <c r="F109" s="2">
        <v>106.65</v>
      </c>
      <c r="G109" s="2" t="s">
        <v>26</v>
      </c>
      <c r="H109" s="2" t="s">
        <v>11</v>
      </c>
    </row>
    <row r="110">
      <c r="A110" s="1" t="s">
        <v>139</v>
      </c>
      <c r="B110" s="3">
        <v>46123.0</v>
      </c>
      <c r="C110" s="2" t="s">
        <v>9</v>
      </c>
      <c r="D110" s="2">
        <v>5.0</v>
      </c>
      <c r="E110" s="2">
        <v>92.38</v>
      </c>
      <c r="F110" s="2">
        <v>461.9</v>
      </c>
      <c r="G110" s="2" t="s">
        <v>14</v>
      </c>
      <c r="H110" s="2" t="s">
        <v>36</v>
      </c>
    </row>
    <row r="111">
      <c r="A111" s="1" t="s">
        <v>140</v>
      </c>
      <c r="B111" s="3">
        <v>46066.0</v>
      </c>
      <c r="C111" s="2" t="s">
        <v>9</v>
      </c>
      <c r="D111" s="2">
        <v>2.0</v>
      </c>
      <c r="E111" s="2">
        <v>82.19</v>
      </c>
      <c r="F111" s="2">
        <v>164.38</v>
      </c>
      <c r="G111" s="2" t="s">
        <v>10</v>
      </c>
      <c r="H111" s="2" t="s">
        <v>40</v>
      </c>
    </row>
    <row r="112">
      <c r="A112" s="1" t="s">
        <v>141</v>
      </c>
      <c r="B112" s="3">
        <v>46200.0</v>
      </c>
      <c r="C112" s="2" t="s">
        <v>19</v>
      </c>
      <c r="D112" s="2">
        <v>5.0</v>
      </c>
      <c r="E112" s="2">
        <v>164.71</v>
      </c>
      <c r="F112" s="2">
        <v>823.55</v>
      </c>
      <c r="G112" s="2" t="s">
        <v>14</v>
      </c>
      <c r="H112" s="2" t="s">
        <v>40</v>
      </c>
    </row>
    <row r="113">
      <c r="A113" s="1" t="s">
        <v>142</v>
      </c>
      <c r="B113" s="3">
        <v>46066.0</v>
      </c>
      <c r="C113" s="2" t="s">
        <v>19</v>
      </c>
      <c r="D113" s="2">
        <v>3.0</v>
      </c>
      <c r="E113" s="2">
        <v>16.97</v>
      </c>
      <c r="F113" s="2">
        <v>50.91</v>
      </c>
      <c r="G113" s="2" t="s">
        <v>23</v>
      </c>
      <c r="H113" s="2" t="s">
        <v>11</v>
      </c>
    </row>
    <row r="114">
      <c r="A114" s="1" t="s">
        <v>143</v>
      </c>
      <c r="B114" s="3">
        <v>46110.0</v>
      </c>
      <c r="C114" s="2" t="s">
        <v>28</v>
      </c>
      <c r="D114" s="2">
        <v>5.0</v>
      </c>
      <c r="E114" s="2">
        <v>116.14</v>
      </c>
      <c r="F114" s="2">
        <v>580.7</v>
      </c>
      <c r="G114" s="2" t="s">
        <v>23</v>
      </c>
      <c r="H114" s="2" t="s">
        <v>29</v>
      </c>
    </row>
    <row r="115">
      <c r="A115" s="1" t="s">
        <v>144</v>
      </c>
      <c r="B115" s="3">
        <v>46070.0</v>
      </c>
      <c r="C115" s="2" t="s">
        <v>39</v>
      </c>
      <c r="D115" s="2">
        <v>8.0</v>
      </c>
      <c r="E115" s="2">
        <v>101.26</v>
      </c>
      <c r="F115" s="2">
        <v>810.08</v>
      </c>
      <c r="G115" s="2" t="s">
        <v>26</v>
      </c>
      <c r="H115" s="2" t="s">
        <v>36</v>
      </c>
    </row>
    <row r="116">
      <c r="A116" s="1" t="s">
        <v>145</v>
      </c>
      <c r="B116" s="3">
        <v>46106.0</v>
      </c>
      <c r="C116" s="2" t="s">
        <v>28</v>
      </c>
      <c r="D116" s="2">
        <v>3.0</v>
      </c>
      <c r="E116" s="2">
        <v>106.98</v>
      </c>
      <c r="F116" s="2">
        <v>320.94</v>
      </c>
      <c r="G116" s="2" t="s">
        <v>10</v>
      </c>
      <c r="H116" s="2" t="s">
        <v>11</v>
      </c>
    </row>
    <row r="117">
      <c r="A117" s="1" t="s">
        <v>146</v>
      </c>
      <c r="B117" s="3">
        <v>46180.0</v>
      </c>
      <c r="C117" s="2" t="s">
        <v>25</v>
      </c>
      <c r="D117" s="2">
        <v>6.0</v>
      </c>
      <c r="E117" s="2">
        <v>217.82</v>
      </c>
      <c r="F117" s="2">
        <v>1306.92</v>
      </c>
      <c r="G117" s="2" t="s">
        <v>10</v>
      </c>
      <c r="H117" s="2" t="s">
        <v>40</v>
      </c>
    </row>
    <row r="118">
      <c r="A118" s="1" t="s">
        <v>147</v>
      </c>
      <c r="B118" s="3">
        <v>46115.0</v>
      </c>
      <c r="C118" s="2" t="s">
        <v>13</v>
      </c>
      <c r="D118" s="2">
        <v>4.0</v>
      </c>
      <c r="E118" s="2">
        <v>82.75</v>
      </c>
      <c r="F118" s="2">
        <v>331.0</v>
      </c>
      <c r="G118" s="2" t="s">
        <v>26</v>
      </c>
      <c r="H118" s="2" t="s">
        <v>21</v>
      </c>
    </row>
    <row r="119">
      <c r="A119" s="1" t="s">
        <v>148</v>
      </c>
      <c r="B119" s="3">
        <v>46201.0</v>
      </c>
      <c r="C119" s="2" t="s">
        <v>16</v>
      </c>
      <c r="D119" s="2">
        <v>2.0</v>
      </c>
      <c r="E119" s="2">
        <v>63.53</v>
      </c>
      <c r="F119" s="2">
        <v>127.06</v>
      </c>
      <c r="G119" s="2" t="s">
        <v>10</v>
      </c>
      <c r="H119" s="2" t="s">
        <v>36</v>
      </c>
    </row>
    <row r="120">
      <c r="A120" s="1" t="s">
        <v>149</v>
      </c>
      <c r="B120" s="3">
        <v>46153.0</v>
      </c>
      <c r="C120" s="2" t="s">
        <v>28</v>
      </c>
      <c r="D120" s="2">
        <v>5.0</v>
      </c>
      <c r="E120" s="2">
        <v>133.98</v>
      </c>
      <c r="F120" s="2">
        <v>669.9</v>
      </c>
      <c r="G120" s="2" t="s">
        <v>20</v>
      </c>
      <c r="H120" s="2" t="s">
        <v>17</v>
      </c>
    </row>
    <row r="121">
      <c r="A121" s="1" t="s">
        <v>150</v>
      </c>
      <c r="B121" s="3">
        <v>46150.0</v>
      </c>
      <c r="C121" s="2" t="s">
        <v>44</v>
      </c>
      <c r="D121" s="2">
        <v>2.0</v>
      </c>
      <c r="E121" s="2">
        <v>40.29</v>
      </c>
      <c r="F121" s="2">
        <v>80.58</v>
      </c>
      <c r="G121" s="2" t="s">
        <v>23</v>
      </c>
      <c r="H121" s="2" t="s">
        <v>40</v>
      </c>
    </row>
    <row r="122">
      <c r="A122" s="1" t="s">
        <v>151</v>
      </c>
      <c r="B122" s="3">
        <v>46105.0</v>
      </c>
      <c r="C122" s="2" t="s">
        <v>35</v>
      </c>
      <c r="D122" s="2">
        <v>5.0</v>
      </c>
      <c r="E122" s="2">
        <v>67.68</v>
      </c>
      <c r="F122" s="2">
        <v>338.4</v>
      </c>
      <c r="G122" s="2" t="s">
        <v>23</v>
      </c>
      <c r="H122" s="2" t="s">
        <v>21</v>
      </c>
    </row>
    <row r="123">
      <c r="A123" s="1" t="s">
        <v>152</v>
      </c>
      <c r="B123" s="3">
        <v>46046.0</v>
      </c>
      <c r="C123" s="2" t="s">
        <v>25</v>
      </c>
      <c r="D123" s="2">
        <v>4.0</v>
      </c>
      <c r="E123" s="2">
        <v>155.01</v>
      </c>
      <c r="F123" s="2">
        <v>620.04</v>
      </c>
      <c r="G123" s="2" t="s">
        <v>23</v>
      </c>
      <c r="H123" s="2" t="s">
        <v>29</v>
      </c>
    </row>
    <row r="124">
      <c r="A124" s="1" t="s">
        <v>153</v>
      </c>
      <c r="B124" s="3">
        <v>46181.0</v>
      </c>
      <c r="C124" s="2" t="s">
        <v>19</v>
      </c>
      <c r="D124" s="2">
        <v>7.0</v>
      </c>
      <c r="E124" s="2">
        <v>164.92</v>
      </c>
      <c r="F124" s="2">
        <v>1154.44</v>
      </c>
      <c r="G124" s="2" t="s">
        <v>20</v>
      </c>
      <c r="H124" s="2" t="s">
        <v>11</v>
      </c>
    </row>
    <row r="125">
      <c r="A125" s="1" t="s">
        <v>154</v>
      </c>
      <c r="B125" s="3">
        <v>46030.0</v>
      </c>
      <c r="C125" s="2" t="s">
        <v>16</v>
      </c>
      <c r="D125" s="2">
        <v>4.0</v>
      </c>
      <c r="E125" s="2">
        <v>73.54</v>
      </c>
      <c r="F125" s="2">
        <v>294.16</v>
      </c>
      <c r="G125" s="2" t="s">
        <v>26</v>
      </c>
      <c r="H125" s="2" t="s">
        <v>40</v>
      </c>
    </row>
    <row r="126">
      <c r="A126" s="1" t="s">
        <v>155</v>
      </c>
      <c r="B126" s="3">
        <v>46061.0</v>
      </c>
      <c r="C126" s="2" t="s">
        <v>33</v>
      </c>
      <c r="D126" s="2">
        <v>6.0</v>
      </c>
      <c r="E126" s="2">
        <v>64.57</v>
      </c>
      <c r="F126" s="2">
        <v>387.42</v>
      </c>
      <c r="G126" s="2" t="s">
        <v>26</v>
      </c>
      <c r="H126" s="2" t="s">
        <v>17</v>
      </c>
    </row>
    <row r="127">
      <c r="A127" s="1" t="s">
        <v>156</v>
      </c>
      <c r="B127" s="3">
        <v>46078.0</v>
      </c>
      <c r="C127" s="2" t="s">
        <v>33</v>
      </c>
      <c r="D127" s="2">
        <v>6.0</v>
      </c>
      <c r="E127" s="2">
        <v>100.31</v>
      </c>
      <c r="F127" s="2">
        <v>601.86</v>
      </c>
      <c r="G127" s="2" t="s">
        <v>23</v>
      </c>
      <c r="H127" s="2" t="s">
        <v>40</v>
      </c>
    </row>
    <row r="128">
      <c r="A128" s="1" t="s">
        <v>157</v>
      </c>
      <c r="B128" s="3">
        <v>46036.0</v>
      </c>
      <c r="C128" s="2" t="s">
        <v>44</v>
      </c>
      <c r="D128" s="2">
        <v>2.0</v>
      </c>
      <c r="E128" s="2">
        <v>101.62</v>
      </c>
      <c r="F128" s="2">
        <v>203.24</v>
      </c>
      <c r="G128" s="2" t="s">
        <v>20</v>
      </c>
      <c r="H128" s="2" t="s">
        <v>36</v>
      </c>
    </row>
    <row r="129">
      <c r="A129" s="1" t="s">
        <v>158</v>
      </c>
      <c r="B129" s="3">
        <v>46046.0</v>
      </c>
      <c r="C129" s="2" t="s">
        <v>19</v>
      </c>
      <c r="D129" s="2">
        <v>1.0</v>
      </c>
      <c r="E129" s="2">
        <v>218.28</v>
      </c>
      <c r="F129" s="2">
        <v>218.28</v>
      </c>
      <c r="G129" s="2" t="s">
        <v>20</v>
      </c>
      <c r="H129" s="2" t="s">
        <v>36</v>
      </c>
    </row>
    <row r="130">
      <c r="A130" s="1" t="s">
        <v>159</v>
      </c>
      <c r="B130" s="3">
        <v>46144.0</v>
      </c>
      <c r="C130" s="2" t="s">
        <v>64</v>
      </c>
      <c r="D130" s="2">
        <v>7.0</v>
      </c>
      <c r="E130" s="2">
        <v>136.89</v>
      </c>
      <c r="F130" s="2">
        <v>958.23</v>
      </c>
      <c r="G130" s="2" t="s">
        <v>26</v>
      </c>
      <c r="H130" s="2" t="s">
        <v>21</v>
      </c>
    </row>
    <row r="131">
      <c r="A131" s="1" t="s">
        <v>160</v>
      </c>
      <c r="B131" s="3">
        <v>46161.0</v>
      </c>
      <c r="C131" s="2" t="s">
        <v>44</v>
      </c>
      <c r="D131" s="2">
        <v>7.0</v>
      </c>
      <c r="E131" s="2">
        <v>222.09</v>
      </c>
      <c r="F131" s="2">
        <v>1554.63</v>
      </c>
      <c r="G131" s="2" t="s">
        <v>20</v>
      </c>
      <c r="H131" s="2" t="s">
        <v>36</v>
      </c>
    </row>
    <row r="132">
      <c r="A132" s="1" t="s">
        <v>161</v>
      </c>
      <c r="B132" s="3">
        <v>46188.0</v>
      </c>
      <c r="C132" s="2" t="s">
        <v>9</v>
      </c>
      <c r="D132" s="2">
        <v>8.0</v>
      </c>
      <c r="E132" s="2">
        <v>216.34</v>
      </c>
      <c r="F132" s="2">
        <v>1730.72</v>
      </c>
      <c r="G132" s="2" t="s">
        <v>14</v>
      </c>
      <c r="H132" s="2" t="s">
        <v>21</v>
      </c>
    </row>
    <row r="133">
      <c r="A133" s="1" t="s">
        <v>162</v>
      </c>
      <c r="B133" s="3">
        <v>46155.0</v>
      </c>
      <c r="C133" s="2" t="s">
        <v>35</v>
      </c>
      <c r="D133" s="2">
        <v>8.0</v>
      </c>
      <c r="E133" s="2">
        <v>101.86</v>
      </c>
      <c r="F133" s="2">
        <v>814.88</v>
      </c>
      <c r="G133" s="2" t="s">
        <v>23</v>
      </c>
      <c r="H133" s="2" t="s">
        <v>11</v>
      </c>
    </row>
    <row r="134">
      <c r="A134" s="1" t="s">
        <v>163</v>
      </c>
      <c r="B134" s="3">
        <v>46061.0</v>
      </c>
      <c r="C134" s="2" t="s">
        <v>64</v>
      </c>
      <c r="D134" s="2">
        <v>4.0</v>
      </c>
      <c r="E134" s="2">
        <v>76.08</v>
      </c>
      <c r="F134" s="2">
        <v>304.32</v>
      </c>
      <c r="G134" s="2" t="s">
        <v>20</v>
      </c>
      <c r="H134" s="2" t="s">
        <v>21</v>
      </c>
    </row>
    <row r="135">
      <c r="A135" s="1" t="s">
        <v>164</v>
      </c>
      <c r="B135" s="3">
        <v>46157.0</v>
      </c>
      <c r="C135" s="2" t="s">
        <v>19</v>
      </c>
      <c r="D135" s="2">
        <v>4.0</v>
      </c>
      <c r="E135" s="2">
        <v>86.42</v>
      </c>
      <c r="F135" s="2">
        <v>345.68</v>
      </c>
      <c r="G135" s="2" t="s">
        <v>10</v>
      </c>
      <c r="H135" s="2" t="s">
        <v>29</v>
      </c>
    </row>
    <row r="136">
      <c r="A136" s="1" t="s">
        <v>165</v>
      </c>
      <c r="B136" s="3">
        <v>46160.0</v>
      </c>
      <c r="C136" s="2" t="s">
        <v>13</v>
      </c>
      <c r="D136" s="2">
        <v>4.0</v>
      </c>
      <c r="E136" s="2">
        <v>173.35</v>
      </c>
      <c r="F136" s="2">
        <v>693.4</v>
      </c>
      <c r="G136" s="2" t="s">
        <v>14</v>
      </c>
      <c r="H136" s="2" t="s">
        <v>36</v>
      </c>
    </row>
    <row r="137">
      <c r="A137" s="1" t="s">
        <v>166</v>
      </c>
      <c r="B137" s="3">
        <v>46197.0</v>
      </c>
      <c r="C137" s="2" t="s">
        <v>31</v>
      </c>
      <c r="D137" s="2">
        <v>1.0</v>
      </c>
      <c r="E137" s="2">
        <v>162.11</v>
      </c>
      <c r="F137" s="2">
        <v>162.11</v>
      </c>
      <c r="G137" s="2" t="s">
        <v>26</v>
      </c>
      <c r="H137" s="2" t="s">
        <v>17</v>
      </c>
    </row>
    <row r="138">
      <c r="A138" s="1" t="s">
        <v>167</v>
      </c>
      <c r="B138" s="3">
        <v>46184.0</v>
      </c>
      <c r="C138" s="2" t="s">
        <v>35</v>
      </c>
      <c r="D138" s="2">
        <v>5.0</v>
      </c>
      <c r="E138" s="2">
        <v>153.15</v>
      </c>
      <c r="F138" s="2">
        <v>765.75</v>
      </c>
      <c r="G138" s="2" t="s">
        <v>14</v>
      </c>
      <c r="H138" s="2" t="s">
        <v>36</v>
      </c>
    </row>
    <row r="139">
      <c r="A139" s="1" t="s">
        <v>168</v>
      </c>
      <c r="B139" s="3">
        <v>46170.0</v>
      </c>
      <c r="C139" s="2" t="s">
        <v>39</v>
      </c>
      <c r="D139" s="2">
        <v>2.0</v>
      </c>
      <c r="E139" s="2">
        <v>155.6</v>
      </c>
      <c r="F139" s="2">
        <v>311.2</v>
      </c>
      <c r="G139" s="2" t="s">
        <v>23</v>
      </c>
      <c r="H139" s="2" t="s">
        <v>11</v>
      </c>
    </row>
    <row r="140">
      <c r="A140" s="1" t="s">
        <v>169</v>
      </c>
      <c r="B140" s="3">
        <v>46169.0</v>
      </c>
      <c r="C140" s="2" t="s">
        <v>16</v>
      </c>
      <c r="D140" s="2">
        <v>6.0</v>
      </c>
      <c r="E140" s="2">
        <v>16.7</v>
      </c>
      <c r="F140" s="2">
        <v>100.2</v>
      </c>
      <c r="G140" s="2" t="s">
        <v>14</v>
      </c>
      <c r="H140" s="2" t="s">
        <v>11</v>
      </c>
    </row>
    <row r="141">
      <c r="A141" s="1" t="s">
        <v>170</v>
      </c>
      <c r="B141" s="3">
        <v>46025.0</v>
      </c>
      <c r="C141" s="2" t="s">
        <v>35</v>
      </c>
      <c r="D141" s="2">
        <v>6.0</v>
      </c>
      <c r="E141" s="2">
        <v>19.1</v>
      </c>
      <c r="F141" s="2">
        <v>114.6</v>
      </c>
      <c r="G141" s="2" t="s">
        <v>10</v>
      </c>
      <c r="H141" s="2" t="s">
        <v>36</v>
      </c>
    </row>
    <row r="142">
      <c r="A142" s="1" t="s">
        <v>171</v>
      </c>
      <c r="B142" s="3">
        <v>46105.0</v>
      </c>
      <c r="C142" s="2" t="s">
        <v>9</v>
      </c>
      <c r="D142" s="2">
        <v>7.0</v>
      </c>
      <c r="E142" s="2">
        <v>72.07</v>
      </c>
      <c r="F142" s="2">
        <v>504.49</v>
      </c>
      <c r="G142" s="2" t="s">
        <v>14</v>
      </c>
      <c r="H142" s="2" t="s">
        <v>29</v>
      </c>
    </row>
    <row r="143">
      <c r="A143" s="1" t="s">
        <v>172</v>
      </c>
      <c r="B143" s="3">
        <v>46132.0</v>
      </c>
      <c r="C143" s="2" t="s">
        <v>35</v>
      </c>
      <c r="D143" s="2">
        <v>1.0</v>
      </c>
      <c r="E143" s="2">
        <v>124.59</v>
      </c>
      <c r="F143" s="2">
        <v>124.59</v>
      </c>
      <c r="G143" s="2" t="s">
        <v>20</v>
      </c>
      <c r="H143" s="2" t="s">
        <v>17</v>
      </c>
    </row>
    <row r="144">
      <c r="A144" s="1" t="s">
        <v>173</v>
      </c>
      <c r="B144" s="3">
        <v>46134.0</v>
      </c>
      <c r="C144" s="2" t="s">
        <v>28</v>
      </c>
      <c r="D144" s="2">
        <v>4.0</v>
      </c>
      <c r="E144" s="2">
        <v>156.06</v>
      </c>
      <c r="F144" s="2">
        <v>624.24</v>
      </c>
      <c r="G144" s="2" t="s">
        <v>23</v>
      </c>
      <c r="H144" s="2" t="s">
        <v>21</v>
      </c>
    </row>
    <row r="145">
      <c r="A145" s="1" t="s">
        <v>174</v>
      </c>
      <c r="B145" s="3">
        <v>46181.0</v>
      </c>
      <c r="C145" s="2" t="s">
        <v>16</v>
      </c>
      <c r="D145" s="2">
        <v>7.0</v>
      </c>
      <c r="E145" s="2">
        <v>209.76</v>
      </c>
      <c r="F145" s="2">
        <v>1468.32</v>
      </c>
      <c r="G145" s="2" t="s">
        <v>23</v>
      </c>
      <c r="H145" s="2" t="s">
        <v>17</v>
      </c>
    </row>
    <row r="146">
      <c r="A146" s="1" t="s">
        <v>175</v>
      </c>
      <c r="B146" s="3">
        <v>46183.0</v>
      </c>
      <c r="C146" s="2" t="s">
        <v>19</v>
      </c>
      <c r="D146" s="2">
        <v>4.0</v>
      </c>
      <c r="E146" s="2">
        <v>156.38</v>
      </c>
      <c r="F146" s="2">
        <v>625.52</v>
      </c>
      <c r="G146" s="2" t="s">
        <v>14</v>
      </c>
      <c r="H146" s="2" t="s">
        <v>40</v>
      </c>
    </row>
    <row r="147">
      <c r="A147" s="1" t="s">
        <v>176</v>
      </c>
      <c r="B147" s="3">
        <v>46070.0</v>
      </c>
      <c r="C147" s="2" t="s">
        <v>35</v>
      </c>
      <c r="D147" s="2">
        <v>1.0</v>
      </c>
      <c r="E147" s="2">
        <v>160.51</v>
      </c>
      <c r="F147" s="2">
        <v>160.51</v>
      </c>
      <c r="G147" s="2" t="s">
        <v>10</v>
      </c>
      <c r="H147" s="2" t="s">
        <v>11</v>
      </c>
    </row>
    <row r="148">
      <c r="A148" s="1" t="s">
        <v>177</v>
      </c>
      <c r="B148" s="3">
        <v>46030.0</v>
      </c>
      <c r="C148" s="2" t="s">
        <v>19</v>
      </c>
      <c r="D148" s="2">
        <v>5.0</v>
      </c>
      <c r="E148" s="2">
        <v>97.85</v>
      </c>
      <c r="F148" s="2">
        <v>489.25</v>
      </c>
      <c r="G148" s="2" t="s">
        <v>26</v>
      </c>
      <c r="H148" s="2" t="s">
        <v>11</v>
      </c>
    </row>
    <row r="149">
      <c r="A149" s="1" t="s">
        <v>178</v>
      </c>
      <c r="B149" s="3">
        <v>46182.0</v>
      </c>
      <c r="C149" s="2" t="s">
        <v>31</v>
      </c>
      <c r="D149" s="2">
        <v>7.0</v>
      </c>
      <c r="E149" s="2">
        <v>154.63</v>
      </c>
      <c r="F149" s="2">
        <v>1082.41</v>
      </c>
      <c r="G149" s="2" t="s">
        <v>14</v>
      </c>
      <c r="H149" s="2" t="s">
        <v>36</v>
      </c>
    </row>
    <row r="150">
      <c r="A150" s="1" t="s">
        <v>179</v>
      </c>
      <c r="B150" s="3">
        <v>46177.0</v>
      </c>
      <c r="C150" s="2" t="s">
        <v>31</v>
      </c>
      <c r="D150" s="2">
        <v>3.0</v>
      </c>
      <c r="E150" s="2">
        <v>151.96</v>
      </c>
      <c r="F150" s="2">
        <v>455.88</v>
      </c>
      <c r="G150" s="2" t="s">
        <v>20</v>
      </c>
      <c r="H150" s="2" t="s">
        <v>11</v>
      </c>
    </row>
    <row r="151">
      <c r="A151" s="1" t="s">
        <v>180</v>
      </c>
      <c r="B151" s="3">
        <v>46139.0</v>
      </c>
      <c r="C151" s="2" t="s">
        <v>64</v>
      </c>
      <c r="D151" s="2">
        <v>4.0</v>
      </c>
      <c r="E151" s="2">
        <v>150.59</v>
      </c>
      <c r="F151" s="2">
        <v>602.36</v>
      </c>
      <c r="G151" s="2" t="s">
        <v>23</v>
      </c>
      <c r="H151" s="2" t="s">
        <v>21</v>
      </c>
    </row>
    <row r="152">
      <c r="A152" s="1" t="s">
        <v>181</v>
      </c>
      <c r="B152" s="3">
        <v>46106.0</v>
      </c>
      <c r="C152" s="2" t="s">
        <v>28</v>
      </c>
      <c r="D152" s="2">
        <v>3.0</v>
      </c>
      <c r="E152" s="2">
        <v>52.27</v>
      </c>
      <c r="F152" s="2">
        <v>156.81</v>
      </c>
      <c r="G152" s="2" t="s">
        <v>20</v>
      </c>
      <c r="H152" s="2" t="s">
        <v>17</v>
      </c>
    </row>
    <row r="153">
      <c r="A153" s="1" t="s">
        <v>182</v>
      </c>
      <c r="B153" s="3">
        <v>46125.0</v>
      </c>
      <c r="C153" s="2" t="s">
        <v>33</v>
      </c>
      <c r="D153" s="2">
        <v>1.0</v>
      </c>
      <c r="E153" s="2">
        <v>48.08</v>
      </c>
      <c r="F153" s="2">
        <v>48.08</v>
      </c>
      <c r="G153" s="2" t="s">
        <v>20</v>
      </c>
      <c r="H153" s="2" t="s">
        <v>40</v>
      </c>
    </row>
    <row r="154">
      <c r="A154" s="1" t="s">
        <v>183</v>
      </c>
      <c r="B154" s="3">
        <v>46099.0</v>
      </c>
      <c r="C154" s="2" t="s">
        <v>19</v>
      </c>
      <c r="D154" s="2">
        <v>7.0</v>
      </c>
      <c r="E154" s="2">
        <v>125.23</v>
      </c>
      <c r="F154" s="2">
        <v>876.61</v>
      </c>
      <c r="G154" s="2" t="s">
        <v>14</v>
      </c>
      <c r="H154" s="2" t="s">
        <v>21</v>
      </c>
    </row>
    <row r="155">
      <c r="A155" s="1" t="s">
        <v>184</v>
      </c>
      <c r="B155" s="3">
        <v>46060.0</v>
      </c>
      <c r="C155" s="2" t="s">
        <v>35</v>
      </c>
      <c r="D155" s="2">
        <v>2.0</v>
      </c>
      <c r="E155" s="2">
        <v>76.06</v>
      </c>
      <c r="F155" s="2">
        <v>152.12</v>
      </c>
      <c r="G155" s="2" t="s">
        <v>26</v>
      </c>
      <c r="H155" s="2" t="s">
        <v>21</v>
      </c>
    </row>
    <row r="156">
      <c r="A156" s="1" t="s">
        <v>185</v>
      </c>
      <c r="B156" s="3">
        <v>46102.0</v>
      </c>
      <c r="C156" s="2" t="s">
        <v>28</v>
      </c>
      <c r="D156" s="2">
        <v>5.0</v>
      </c>
      <c r="E156" s="2">
        <v>177.09</v>
      </c>
      <c r="F156" s="2">
        <v>885.45</v>
      </c>
      <c r="G156" s="2" t="s">
        <v>10</v>
      </c>
      <c r="H156" s="2" t="s">
        <v>29</v>
      </c>
    </row>
    <row r="157">
      <c r="A157" s="1" t="s">
        <v>186</v>
      </c>
      <c r="B157" s="3">
        <v>46104.0</v>
      </c>
      <c r="C157" s="2" t="s">
        <v>16</v>
      </c>
      <c r="D157" s="2">
        <v>2.0</v>
      </c>
      <c r="E157" s="2">
        <v>81.39</v>
      </c>
      <c r="F157" s="2">
        <v>162.78</v>
      </c>
      <c r="G157" s="2" t="s">
        <v>10</v>
      </c>
      <c r="H157" s="2" t="s">
        <v>17</v>
      </c>
    </row>
    <row r="158">
      <c r="A158" s="1" t="s">
        <v>187</v>
      </c>
      <c r="B158" s="3">
        <v>46196.0</v>
      </c>
      <c r="C158" s="2" t="s">
        <v>33</v>
      </c>
      <c r="D158" s="2">
        <v>8.0</v>
      </c>
      <c r="E158" s="2">
        <v>186.75</v>
      </c>
      <c r="F158" s="2">
        <v>1494.0</v>
      </c>
      <c r="G158" s="2" t="s">
        <v>26</v>
      </c>
      <c r="H158" s="2" t="s">
        <v>11</v>
      </c>
    </row>
    <row r="159">
      <c r="A159" s="1" t="s">
        <v>188</v>
      </c>
      <c r="B159" s="3">
        <v>46046.0</v>
      </c>
      <c r="C159" s="2" t="s">
        <v>13</v>
      </c>
      <c r="D159" s="2">
        <v>5.0</v>
      </c>
      <c r="E159" s="2">
        <v>105.75</v>
      </c>
      <c r="F159" s="2">
        <v>528.75</v>
      </c>
      <c r="G159" s="2" t="s">
        <v>14</v>
      </c>
      <c r="H159" s="2" t="s">
        <v>11</v>
      </c>
    </row>
    <row r="160">
      <c r="A160" s="1" t="s">
        <v>189</v>
      </c>
      <c r="B160" s="3">
        <v>46093.0</v>
      </c>
      <c r="C160" s="2" t="s">
        <v>28</v>
      </c>
      <c r="D160" s="2">
        <v>1.0</v>
      </c>
      <c r="E160" s="2">
        <v>166.85</v>
      </c>
      <c r="F160" s="2">
        <v>166.85</v>
      </c>
      <c r="G160" s="2" t="s">
        <v>20</v>
      </c>
      <c r="H160" s="2" t="s">
        <v>29</v>
      </c>
    </row>
    <row r="161">
      <c r="A161" s="1" t="s">
        <v>190</v>
      </c>
      <c r="B161" s="3">
        <v>46045.0</v>
      </c>
      <c r="C161" s="2" t="s">
        <v>35</v>
      </c>
      <c r="D161" s="2">
        <v>4.0</v>
      </c>
      <c r="E161" s="2">
        <v>84.28</v>
      </c>
      <c r="F161" s="2">
        <v>337.12</v>
      </c>
      <c r="G161" s="2" t="s">
        <v>26</v>
      </c>
      <c r="H161" s="2" t="s">
        <v>36</v>
      </c>
    </row>
    <row r="162">
      <c r="A162" s="1" t="s">
        <v>191</v>
      </c>
      <c r="B162" s="3">
        <v>46144.0</v>
      </c>
      <c r="C162" s="2" t="s">
        <v>25</v>
      </c>
      <c r="D162" s="2">
        <v>6.0</v>
      </c>
      <c r="E162" s="2">
        <v>131.34</v>
      </c>
      <c r="F162" s="2">
        <v>788.04</v>
      </c>
      <c r="G162" s="2" t="s">
        <v>14</v>
      </c>
      <c r="H162" s="2" t="s">
        <v>36</v>
      </c>
    </row>
    <row r="163">
      <c r="A163" s="1" t="s">
        <v>192</v>
      </c>
      <c r="B163" s="3">
        <v>46194.0</v>
      </c>
      <c r="C163" s="2" t="s">
        <v>35</v>
      </c>
      <c r="D163" s="2">
        <v>5.0</v>
      </c>
      <c r="E163" s="2">
        <v>162.14</v>
      </c>
      <c r="F163" s="2">
        <v>810.7</v>
      </c>
      <c r="G163" s="2" t="s">
        <v>26</v>
      </c>
      <c r="H163" s="2" t="s">
        <v>21</v>
      </c>
    </row>
    <row r="164">
      <c r="A164" s="1" t="s">
        <v>193</v>
      </c>
      <c r="B164" s="3">
        <v>46104.0</v>
      </c>
      <c r="C164" s="2" t="s">
        <v>39</v>
      </c>
      <c r="D164" s="2">
        <v>3.0</v>
      </c>
      <c r="E164" s="2">
        <v>202.78</v>
      </c>
      <c r="F164" s="2">
        <v>608.34</v>
      </c>
      <c r="G164" s="2" t="s">
        <v>26</v>
      </c>
      <c r="H164" s="2" t="s">
        <v>11</v>
      </c>
    </row>
    <row r="165">
      <c r="A165" s="1" t="s">
        <v>194</v>
      </c>
      <c r="B165" s="3">
        <v>46126.0</v>
      </c>
      <c r="C165" s="2" t="s">
        <v>13</v>
      </c>
      <c r="D165" s="2">
        <v>4.0</v>
      </c>
      <c r="E165" s="2">
        <v>15.58</v>
      </c>
      <c r="F165" s="2">
        <v>62.32</v>
      </c>
      <c r="G165" s="2" t="s">
        <v>20</v>
      </c>
      <c r="H165" s="2" t="s">
        <v>29</v>
      </c>
    </row>
    <row r="166">
      <c r="A166" s="1" t="s">
        <v>195</v>
      </c>
      <c r="B166" s="3">
        <v>46027.0</v>
      </c>
      <c r="C166" s="2" t="s">
        <v>44</v>
      </c>
      <c r="D166" s="2">
        <v>4.0</v>
      </c>
      <c r="E166" s="2">
        <v>80.59</v>
      </c>
      <c r="F166" s="2">
        <v>322.36</v>
      </c>
      <c r="G166" s="2" t="s">
        <v>10</v>
      </c>
      <c r="H166" s="2" t="s">
        <v>40</v>
      </c>
    </row>
    <row r="167">
      <c r="A167" s="1" t="s">
        <v>196</v>
      </c>
      <c r="B167" s="3">
        <v>46184.0</v>
      </c>
      <c r="C167" s="2" t="s">
        <v>64</v>
      </c>
      <c r="D167" s="2">
        <v>8.0</v>
      </c>
      <c r="E167" s="2">
        <v>82.73</v>
      </c>
      <c r="F167" s="2">
        <v>661.84</v>
      </c>
      <c r="G167" s="2" t="s">
        <v>26</v>
      </c>
      <c r="H167" s="2" t="s">
        <v>40</v>
      </c>
    </row>
    <row r="168">
      <c r="A168" s="1" t="s">
        <v>197</v>
      </c>
      <c r="B168" s="3">
        <v>46163.0</v>
      </c>
      <c r="C168" s="2" t="s">
        <v>19</v>
      </c>
      <c r="D168" s="2">
        <v>4.0</v>
      </c>
      <c r="E168" s="2">
        <v>20.57</v>
      </c>
      <c r="F168" s="2">
        <v>82.28</v>
      </c>
      <c r="G168" s="2" t="s">
        <v>26</v>
      </c>
      <c r="H168" s="2" t="s">
        <v>40</v>
      </c>
    </row>
    <row r="169">
      <c r="A169" s="1" t="s">
        <v>198</v>
      </c>
      <c r="B169" s="3">
        <v>46038.0</v>
      </c>
      <c r="C169" s="2" t="s">
        <v>64</v>
      </c>
      <c r="D169" s="2">
        <v>5.0</v>
      </c>
      <c r="E169" s="2">
        <v>26.98</v>
      </c>
      <c r="F169" s="2">
        <v>134.9</v>
      </c>
      <c r="G169" s="2" t="s">
        <v>23</v>
      </c>
      <c r="H169" s="2" t="s">
        <v>11</v>
      </c>
    </row>
    <row r="170">
      <c r="A170" s="1" t="s">
        <v>199</v>
      </c>
      <c r="B170" s="3">
        <v>46046.0</v>
      </c>
      <c r="C170" s="2" t="s">
        <v>19</v>
      </c>
      <c r="D170" s="2">
        <v>7.0</v>
      </c>
      <c r="E170" s="2">
        <v>216.51</v>
      </c>
      <c r="F170" s="2">
        <v>1515.57</v>
      </c>
      <c r="G170" s="2" t="s">
        <v>10</v>
      </c>
      <c r="H170" s="2" t="s">
        <v>29</v>
      </c>
    </row>
    <row r="171">
      <c r="A171" s="1" t="s">
        <v>200</v>
      </c>
      <c r="B171" s="3">
        <v>46148.0</v>
      </c>
      <c r="C171" s="2" t="s">
        <v>16</v>
      </c>
      <c r="D171" s="2">
        <v>6.0</v>
      </c>
      <c r="E171" s="2">
        <v>119.56</v>
      </c>
      <c r="F171" s="2">
        <v>717.36</v>
      </c>
      <c r="G171" s="2" t="s">
        <v>23</v>
      </c>
      <c r="H171" s="2" t="s">
        <v>17</v>
      </c>
    </row>
    <row r="172">
      <c r="A172" s="1" t="s">
        <v>201</v>
      </c>
      <c r="B172" s="3">
        <v>46102.0</v>
      </c>
      <c r="C172" s="2" t="s">
        <v>33</v>
      </c>
      <c r="D172" s="2">
        <v>6.0</v>
      </c>
      <c r="E172" s="2">
        <v>67.73</v>
      </c>
      <c r="F172" s="2">
        <v>406.38</v>
      </c>
      <c r="G172" s="2" t="s">
        <v>26</v>
      </c>
      <c r="H172" s="2" t="s">
        <v>40</v>
      </c>
    </row>
    <row r="173">
      <c r="A173" s="1" t="s">
        <v>202</v>
      </c>
      <c r="B173" s="3">
        <v>46193.0</v>
      </c>
      <c r="C173" s="2" t="s">
        <v>31</v>
      </c>
      <c r="D173" s="2">
        <v>3.0</v>
      </c>
      <c r="E173" s="2">
        <v>88.69</v>
      </c>
      <c r="F173" s="2">
        <v>266.07</v>
      </c>
      <c r="G173" s="2" t="s">
        <v>26</v>
      </c>
      <c r="H173" s="2" t="s">
        <v>36</v>
      </c>
    </row>
    <row r="174">
      <c r="A174" s="1" t="s">
        <v>203</v>
      </c>
      <c r="B174" s="3">
        <v>46162.0</v>
      </c>
      <c r="C174" s="2" t="s">
        <v>31</v>
      </c>
      <c r="D174" s="2">
        <v>7.0</v>
      </c>
      <c r="E174" s="2">
        <v>17.85</v>
      </c>
      <c r="F174" s="2">
        <v>124.95</v>
      </c>
      <c r="G174" s="2" t="s">
        <v>26</v>
      </c>
      <c r="H174" s="2" t="s">
        <v>17</v>
      </c>
    </row>
    <row r="175">
      <c r="A175" s="1" t="s">
        <v>204</v>
      </c>
      <c r="B175" s="3">
        <v>46149.0</v>
      </c>
      <c r="C175" s="2" t="s">
        <v>19</v>
      </c>
      <c r="D175" s="2">
        <v>2.0</v>
      </c>
      <c r="E175" s="2">
        <v>100.99</v>
      </c>
      <c r="F175" s="2">
        <v>201.98</v>
      </c>
      <c r="G175" s="2" t="s">
        <v>26</v>
      </c>
      <c r="H175" s="2" t="s">
        <v>36</v>
      </c>
    </row>
    <row r="176">
      <c r="A176" s="1" t="s">
        <v>205</v>
      </c>
      <c r="B176" s="3">
        <v>46187.0</v>
      </c>
      <c r="C176" s="2" t="s">
        <v>9</v>
      </c>
      <c r="D176" s="2">
        <v>1.0</v>
      </c>
      <c r="E176" s="2">
        <v>111.2</v>
      </c>
      <c r="F176" s="2">
        <v>111.2</v>
      </c>
      <c r="G176" s="2" t="s">
        <v>23</v>
      </c>
      <c r="H176" s="2" t="s">
        <v>29</v>
      </c>
    </row>
    <row r="177">
      <c r="A177" s="1" t="s">
        <v>206</v>
      </c>
      <c r="B177" s="3">
        <v>46084.0</v>
      </c>
      <c r="C177" s="2" t="s">
        <v>64</v>
      </c>
      <c r="D177" s="2">
        <v>2.0</v>
      </c>
      <c r="E177" s="2">
        <v>101.15</v>
      </c>
      <c r="F177" s="2">
        <v>202.3</v>
      </c>
      <c r="G177" s="2" t="s">
        <v>14</v>
      </c>
      <c r="H177" s="2" t="s">
        <v>17</v>
      </c>
    </row>
    <row r="178">
      <c r="A178" s="1" t="s">
        <v>207</v>
      </c>
      <c r="B178" s="3">
        <v>46182.0</v>
      </c>
      <c r="C178" s="2" t="s">
        <v>13</v>
      </c>
      <c r="D178" s="2">
        <v>6.0</v>
      </c>
      <c r="E178" s="2">
        <v>133.08</v>
      </c>
      <c r="F178" s="2">
        <v>798.48</v>
      </c>
      <c r="G178" s="2" t="s">
        <v>26</v>
      </c>
      <c r="H178" s="2" t="s">
        <v>36</v>
      </c>
    </row>
    <row r="179">
      <c r="A179" s="1" t="s">
        <v>208</v>
      </c>
      <c r="B179" s="3">
        <v>46079.0</v>
      </c>
      <c r="C179" s="2" t="s">
        <v>16</v>
      </c>
      <c r="D179" s="2">
        <v>1.0</v>
      </c>
      <c r="E179" s="2">
        <v>230.15</v>
      </c>
      <c r="F179" s="2">
        <v>230.15</v>
      </c>
      <c r="G179" s="2" t="s">
        <v>20</v>
      </c>
      <c r="H179" s="2" t="s">
        <v>21</v>
      </c>
    </row>
    <row r="180">
      <c r="A180" s="1" t="s">
        <v>209</v>
      </c>
      <c r="B180" s="3">
        <v>46075.0</v>
      </c>
      <c r="C180" s="2" t="s">
        <v>25</v>
      </c>
      <c r="D180" s="2">
        <v>6.0</v>
      </c>
      <c r="E180" s="2">
        <v>97.76</v>
      </c>
      <c r="F180" s="2">
        <v>586.56</v>
      </c>
      <c r="G180" s="2" t="s">
        <v>26</v>
      </c>
      <c r="H180" s="2" t="s">
        <v>21</v>
      </c>
    </row>
    <row r="181">
      <c r="A181" s="1" t="s">
        <v>210</v>
      </c>
      <c r="B181" s="3">
        <v>46156.0</v>
      </c>
      <c r="C181" s="2" t="s">
        <v>16</v>
      </c>
      <c r="D181" s="2">
        <v>3.0</v>
      </c>
      <c r="E181" s="2">
        <v>71.11</v>
      </c>
      <c r="F181" s="2">
        <v>213.33</v>
      </c>
      <c r="G181" s="2" t="s">
        <v>20</v>
      </c>
      <c r="H181" s="2" t="s">
        <v>11</v>
      </c>
    </row>
    <row r="182">
      <c r="A182" s="1" t="s">
        <v>211</v>
      </c>
      <c r="B182" s="3">
        <v>46195.0</v>
      </c>
      <c r="C182" s="2" t="s">
        <v>33</v>
      </c>
      <c r="D182" s="2">
        <v>3.0</v>
      </c>
      <c r="E182" s="2">
        <v>65.77</v>
      </c>
      <c r="F182" s="2">
        <v>197.31</v>
      </c>
      <c r="G182" s="2" t="s">
        <v>14</v>
      </c>
      <c r="H182" s="2" t="s">
        <v>36</v>
      </c>
    </row>
    <row r="183">
      <c r="A183" s="1" t="s">
        <v>212</v>
      </c>
      <c r="B183" s="3">
        <v>46196.0</v>
      </c>
      <c r="C183" s="2" t="s">
        <v>33</v>
      </c>
      <c r="D183" s="2">
        <v>1.0</v>
      </c>
      <c r="E183" s="2">
        <v>31.73</v>
      </c>
      <c r="F183" s="2">
        <v>31.73</v>
      </c>
      <c r="G183" s="2" t="s">
        <v>26</v>
      </c>
      <c r="H183" s="2" t="s">
        <v>21</v>
      </c>
    </row>
    <row r="184">
      <c r="A184" s="1" t="s">
        <v>213</v>
      </c>
      <c r="B184" s="3">
        <v>46096.0</v>
      </c>
      <c r="C184" s="2" t="s">
        <v>25</v>
      </c>
      <c r="D184" s="2">
        <v>8.0</v>
      </c>
      <c r="E184" s="2">
        <v>99.49</v>
      </c>
      <c r="F184" s="2">
        <v>795.92</v>
      </c>
      <c r="G184" s="2" t="s">
        <v>10</v>
      </c>
      <c r="H184" s="2" t="s">
        <v>11</v>
      </c>
    </row>
    <row r="185">
      <c r="A185" s="1" t="s">
        <v>214</v>
      </c>
      <c r="B185" s="3">
        <v>46189.0</v>
      </c>
      <c r="C185" s="2" t="s">
        <v>44</v>
      </c>
      <c r="D185" s="2">
        <v>2.0</v>
      </c>
      <c r="E185" s="2">
        <v>221.17</v>
      </c>
      <c r="F185" s="2">
        <v>442.34</v>
      </c>
      <c r="G185" s="2" t="s">
        <v>23</v>
      </c>
      <c r="H185" s="2" t="s">
        <v>29</v>
      </c>
    </row>
    <row r="186">
      <c r="A186" s="1" t="s">
        <v>215</v>
      </c>
      <c r="B186" s="3">
        <v>46119.0</v>
      </c>
      <c r="C186" s="2" t="s">
        <v>64</v>
      </c>
      <c r="D186" s="2">
        <v>2.0</v>
      </c>
      <c r="E186" s="2">
        <v>67.08</v>
      </c>
      <c r="F186" s="2">
        <v>134.16</v>
      </c>
      <c r="G186" s="2" t="s">
        <v>20</v>
      </c>
      <c r="H186" s="2" t="s">
        <v>11</v>
      </c>
    </row>
    <row r="187">
      <c r="A187" s="1" t="s">
        <v>216</v>
      </c>
      <c r="B187" s="3">
        <v>46057.0</v>
      </c>
      <c r="C187" s="2" t="s">
        <v>35</v>
      </c>
      <c r="D187" s="2">
        <v>6.0</v>
      </c>
      <c r="E187" s="2">
        <v>33.5</v>
      </c>
      <c r="F187" s="2">
        <v>201.0</v>
      </c>
      <c r="G187" s="2" t="s">
        <v>26</v>
      </c>
      <c r="H187" s="2" t="s">
        <v>29</v>
      </c>
    </row>
    <row r="188">
      <c r="A188" s="1" t="s">
        <v>217</v>
      </c>
      <c r="B188" s="3">
        <v>46092.0</v>
      </c>
      <c r="C188" s="2" t="s">
        <v>64</v>
      </c>
      <c r="D188" s="2">
        <v>5.0</v>
      </c>
      <c r="E188" s="2">
        <v>50.2</v>
      </c>
      <c r="F188" s="2">
        <v>251.0</v>
      </c>
      <c r="G188" s="2" t="s">
        <v>26</v>
      </c>
      <c r="H188" s="2" t="s">
        <v>40</v>
      </c>
    </row>
    <row r="189">
      <c r="A189" s="1" t="s">
        <v>218</v>
      </c>
      <c r="B189" s="3">
        <v>46101.0</v>
      </c>
      <c r="C189" s="2" t="s">
        <v>13</v>
      </c>
      <c r="D189" s="2">
        <v>6.0</v>
      </c>
      <c r="E189" s="2">
        <v>58.2</v>
      </c>
      <c r="F189" s="2">
        <v>349.2</v>
      </c>
      <c r="G189" s="2" t="s">
        <v>20</v>
      </c>
      <c r="H189" s="2" t="s">
        <v>17</v>
      </c>
    </row>
    <row r="190">
      <c r="A190" s="1" t="s">
        <v>219</v>
      </c>
      <c r="B190" s="3">
        <v>46121.0</v>
      </c>
      <c r="C190" s="2" t="s">
        <v>13</v>
      </c>
      <c r="D190" s="2">
        <v>8.0</v>
      </c>
      <c r="E190" s="2">
        <v>94.53</v>
      </c>
      <c r="F190" s="2">
        <v>756.24</v>
      </c>
      <c r="G190" s="2" t="s">
        <v>20</v>
      </c>
      <c r="H190" s="2" t="s">
        <v>36</v>
      </c>
    </row>
    <row r="191">
      <c r="A191" s="1" t="s">
        <v>220</v>
      </c>
      <c r="B191" s="3">
        <v>46130.0</v>
      </c>
      <c r="C191" s="2" t="s">
        <v>31</v>
      </c>
      <c r="D191" s="2">
        <v>1.0</v>
      </c>
      <c r="E191" s="2">
        <v>95.14</v>
      </c>
      <c r="F191" s="2">
        <v>95.14</v>
      </c>
      <c r="G191" s="2" t="s">
        <v>26</v>
      </c>
      <c r="H191" s="2" t="s">
        <v>17</v>
      </c>
    </row>
    <row r="192">
      <c r="A192" s="1" t="s">
        <v>221</v>
      </c>
      <c r="B192" s="3">
        <v>46156.0</v>
      </c>
      <c r="C192" s="2" t="s">
        <v>39</v>
      </c>
      <c r="D192" s="2">
        <v>4.0</v>
      </c>
      <c r="E192" s="2">
        <v>166.53</v>
      </c>
      <c r="F192" s="2">
        <v>666.12</v>
      </c>
      <c r="G192" s="2" t="s">
        <v>26</v>
      </c>
      <c r="H192" s="2" t="s">
        <v>36</v>
      </c>
    </row>
    <row r="193">
      <c r="A193" s="1" t="s">
        <v>222</v>
      </c>
      <c r="B193" s="3">
        <v>46116.0</v>
      </c>
      <c r="C193" s="2" t="s">
        <v>19</v>
      </c>
      <c r="D193" s="2">
        <v>7.0</v>
      </c>
      <c r="E193" s="2">
        <v>80.18</v>
      </c>
      <c r="F193" s="2">
        <v>561.26</v>
      </c>
      <c r="G193" s="2" t="s">
        <v>14</v>
      </c>
      <c r="H193" s="2" t="s">
        <v>21</v>
      </c>
    </row>
    <row r="194">
      <c r="A194" s="1" t="s">
        <v>223</v>
      </c>
      <c r="B194" s="3">
        <v>46084.0</v>
      </c>
      <c r="C194" s="2" t="s">
        <v>25</v>
      </c>
      <c r="D194" s="2">
        <v>4.0</v>
      </c>
      <c r="E194" s="2">
        <v>225.85</v>
      </c>
      <c r="F194" s="2">
        <v>903.4</v>
      </c>
      <c r="G194" s="2" t="s">
        <v>26</v>
      </c>
      <c r="H194" s="2" t="s">
        <v>17</v>
      </c>
    </row>
    <row r="195">
      <c r="A195" s="1" t="s">
        <v>224</v>
      </c>
      <c r="B195" s="3">
        <v>46112.0</v>
      </c>
      <c r="C195" s="2" t="s">
        <v>28</v>
      </c>
      <c r="D195" s="2">
        <v>4.0</v>
      </c>
      <c r="E195" s="2">
        <v>213.73</v>
      </c>
      <c r="F195" s="2">
        <v>854.92</v>
      </c>
      <c r="G195" s="2" t="s">
        <v>26</v>
      </c>
      <c r="H195" s="2" t="s">
        <v>21</v>
      </c>
    </row>
    <row r="196">
      <c r="A196" s="1" t="s">
        <v>225</v>
      </c>
      <c r="B196" s="3">
        <v>46024.0</v>
      </c>
      <c r="C196" s="2" t="s">
        <v>19</v>
      </c>
      <c r="D196" s="2">
        <v>6.0</v>
      </c>
      <c r="E196" s="2">
        <v>235.01</v>
      </c>
      <c r="F196" s="2">
        <v>1410.06</v>
      </c>
      <c r="G196" s="2" t="s">
        <v>10</v>
      </c>
      <c r="H196" s="2" t="s">
        <v>11</v>
      </c>
    </row>
    <row r="197">
      <c r="A197" s="1" t="s">
        <v>226</v>
      </c>
      <c r="B197" s="3">
        <v>46048.0</v>
      </c>
      <c r="C197" s="2" t="s">
        <v>39</v>
      </c>
      <c r="D197" s="2">
        <v>4.0</v>
      </c>
      <c r="E197" s="2">
        <v>177.54</v>
      </c>
      <c r="F197" s="2">
        <v>710.16</v>
      </c>
      <c r="G197" s="2" t="s">
        <v>23</v>
      </c>
      <c r="H197" s="2" t="s">
        <v>36</v>
      </c>
    </row>
    <row r="198">
      <c r="A198" s="1" t="s">
        <v>227</v>
      </c>
      <c r="B198" s="3">
        <v>46024.0</v>
      </c>
      <c r="C198" s="2" t="s">
        <v>28</v>
      </c>
      <c r="D198" s="2">
        <v>6.0</v>
      </c>
      <c r="E198" s="2">
        <v>210.8</v>
      </c>
      <c r="F198" s="2">
        <v>1264.8</v>
      </c>
      <c r="G198" s="2" t="s">
        <v>20</v>
      </c>
      <c r="H198" s="2" t="s">
        <v>21</v>
      </c>
    </row>
    <row r="199">
      <c r="A199" s="1" t="s">
        <v>228</v>
      </c>
      <c r="B199" s="3">
        <v>46099.0</v>
      </c>
      <c r="C199" s="2" t="s">
        <v>13</v>
      </c>
      <c r="D199" s="2">
        <v>1.0</v>
      </c>
      <c r="E199" s="2">
        <v>10.1</v>
      </c>
      <c r="F199" s="2">
        <v>10.1</v>
      </c>
      <c r="G199" s="2" t="s">
        <v>14</v>
      </c>
      <c r="H199" s="2" t="s">
        <v>36</v>
      </c>
    </row>
    <row r="200">
      <c r="A200" s="1" t="s">
        <v>229</v>
      </c>
      <c r="B200" s="3">
        <v>46038.0</v>
      </c>
      <c r="C200" s="2" t="s">
        <v>39</v>
      </c>
      <c r="D200" s="2">
        <v>8.0</v>
      </c>
      <c r="E200" s="2">
        <v>192.08</v>
      </c>
      <c r="F200" s="2">
        <v>1536.64</v>
      </c>
      <c r="G200" s="2" t="s">
        <v>10</v>
      </c>
      <c r="H200" s="2" t="s">
        <v>29</v>
      </c>
    </row>
    <row r="201">
      <c r="A201" s="1" t="s">
        <v>230</v>
      </c>
      <c r="B201" s="3">
        <v>46026.0</v>
      </c>
      <c r="C201" s="2" t="s">
        <v>28</v>
      </c>
      <c r="D201" s="2">
        <v>6.0</v>
      </c>
      <c r="E201" s="2">
        <v>134.68</v>
      </c>
      <c r="F201" s="2">
        <v>808.08</v>
      </c>
      <c r="G201" s="2" t="s">
        <v>10</v>
      </c>
      <c r="H201" s="2" t="s">
        <v>36</v>
      </c>
    </row>
    <row r="202">
      <c r="A202" s="1" t="s">
        <v>231</v>
      </c>
      <c r="B202" s="3">
        <v>46084.0</v>
      </c>
      <c r="C202" s="2" t="s">
        <v>44</v>
      </c>
      <c r="D202" s="2">
        <v>4.0</v>
      </c>
      <c r="E202" s="2">
        <v>24.02</v>
      </c>
      <c r="F202" s="2">
        <v>96.08</v>
      </c>
      <c r="G202" s="2" t="s">
        <v>23</v>
      </c>
      <c r="H202" s="2" t="s">
        <v>40</v>
      </c>
    </row>
    <row r="203">
      <c r="A203" s="1" t="s">
        <v>232</v>
      </c>
      <c r="B203" s="3">
        <v>46178.0</v>
      </c>
      <c r="C203" s="2" t="s">
        <v>33</v>
      </c>
      <c r="D203" s="2">
        <v>7.0</v>
      </c>
      <c r="E203" s="2">
        <v>90.5</v>
      </c>
      <c r="F203" s="2">
        <v>633.5</v>
      </c>
      <c r="G203" s="2" t="s">
        <v>20</v>
      </c>
      <c r="H203" s="2" t="s">
        <v>17</v>
      </c>
    </row>
    <row r="204">
      <c r="A204" s="1" t="s">
        <v>233</v>
      </c>
      <c r="B204" s="3">
        <v>46171.0</v>
      </c>
      <c r="C204" s="2" t="s">
        <v>31</v>
      </c>
      <c r="D204" s="2">
        <v>4.0</v>
      </c>
      <c r="E204" s="2">
        <v>189.38</v>
      </c>
      <c r="F204" s="2">
        <v>757.52</v>
      </c>
      <c r="G204" s="2" t="s">
        <v>26</v>
      </c>
      <c r="H204" s="2" t="s">
        <v>29</v>
      </c>
    </row>
    <row r="205">
      <c r="A205" s="1" t="s">
        <v>234</v>
      </c>
      <c r="B205" s="3">
        <v>46038.0</v>
      </c>
      <c r="C205" s="2" t="s">
        <v>13</v>
      </c>
      <c r="D205" s="2">
        <v>6.0</v>
      </c>
      <c r="E205" s="2">
        <v>102.39</v>
      </c>
      <c r="F205" s="2">
        <v>614.34</v>
      </c>
      <c r="G205" s="2" t="s">
        <v>23</v>
      </c>
      <c r="H205" s="2" t="s">
        <v>36</v>
      </c>
    </row>
    <row r="206">
      <c r="A206" s="1" t="s">
        <v>235</v>
      </c>
      <c r="B206" s="3">
        <v>46139.0</v>
      </c>
      <c r="C206" s="2" t="s">
        <v>31</v>
      </c>
      <c r="D206" s="2">
        <v>4.0</v>
      </c>
      <c r="E206" s="2">
        <v>221.55</v>
      </c>
      <c r="F206" s="2">
        <v>886.2</v>
      </c>
      <c r="G206" s="2" t="s">
        <v>14</v>
      </c>
      <c r="H206" s="2" t="s">
        <v>40</v>
      </c>
    </row>
    <row r="207">
      <c r="A207" s="1" t="s">
        <v>236</v>
      </c>
      <c r="B207" s="3">
        <v>46050.0</v>
      </c>
      <c r="C207" s="2" t="s">
        <v>13</v>
      </c>
      <c r="D207" s="2">
        <v>7.0</v>
      </c>
      <c r="E207" s="2">
        <v>229.99</v>
      </c>
      <c r="F207" s="2">
        <v>1609.93</v>
      </c>
      <c r="G207" s="2" t="s">
        <v>14</v>
      </c>
      <c r="H207" s="2" t="s">
        <v>29</v>
      </c>
    </row>
    <row r="208">
      <c r="A208" s="1" t="s">
        <v>237</v>
      </c>
      <c r="B208" s="3">
        <v>46142.0</v>
      </c>
      <c r="C208" s="2" t="s">
        <v>44</v>
      </c>
      <c r="D208" s="2">
        <v>3.0</v>
      </c>
      <c r="E208" s="2">
        <v>107.72</v>
      </c>
      <c r="F208" s="2">
        <v>323.16</v>
      </c>
      <c r="G208" s="2" t="s">
        <v>10</v>
      </c>
      <c r="H208" s="2" t="s">
        <v>36</v>
      </c>
    </row>
    <row r="209">
      <c r="A209" s="1" t="s">
        <v>238</v>
      </c>
      <c r="B209" s="3">
        <v>46051.0</v>
      </c>
      <c r="C209" s="2" t="s">
        <v>64</v>
      </c>
      <c r="D209" s="2">
        <v>3.0</v>
      </c>
      <c r="E209" s="2">
        <v>25.74</v>
      </c>
      <c r="F209" s="2">
        <v>77.22</v>
      </c>
      <c r="G209" s="2" t="s">
        <v>20</v>
      </c>
      <c r="H209" s="2" t="s">
        <v>11</v>
      </c>
    </row>
    <row r="210">
      <c r="A210" s="1" t="s">
        <v>239</v>
      </c>
      <c r="B210" s="3">
        <v>46120.0</v>
      </c>
      <c r="C210" s="2" t="s">
        <v>35</v>
      </c>
      <c r="D210" s="2">
        <v>3.0</v>
      </c>
      <c r="E210" s="2">
        <v>165.15</v>
      </c>
      <c r="F210" s="2">
        <v>495.45</v>
      </c>
      <c r="G210" s="2" t="s">
        <v>20</v>
      </c>
      <c r="H210" s="2" t="s">
        <v>11</v>
      </c>
    </row>
    <row r="211">
      <c r="A211" s="1" t="s">
        <v>240</v>
      </c>
      <c r="B211" s="3">
        <v>46053.0</v>
      </c>
      <c r="C211" s="2" t="s">
        <v>16</v>
      </c>
      <c r="D211" s="2">
        <v>4.0</v>
      </c>
      <c r="E211" s="2">
        <v>192.3</v>
      </c>
      <c r="F211" s="2">
        <v>769.2</v>
      </c>
      <c r="G211" s="2" t="s">
        <v>20</v>
      </c>
      <c r="H211" s="2" t="s">
        <v>36</v>
      </c>
    </row>
    <row r="212">
      <c r="A212" s="1" t="s">
        <v>241</v>
      </c>
      <c r="B212" s="3">
        <v>46156.0</v>
      </c>
      <c r="C212" s="2" t="s">
        <v>25</v>
      </c>
      <c r="D212" s="2">
        <v>8.0</v>
      </c>
      <c r="E212" s="2">
        <v>222.49</v>
      </c>
      <c r="F212" s="2">
        <v>1779.92</v>
      </c>
      <c r="G212" s="2" t="s">
        <v>23</v>
      </c>
      <c r="H212" s="2" t="s">
        <v>40</v>
      </c>
    </row>
    <row r="213">
      <c r="A213" s="1" t="s">
        <v>242</v>
      </c>
      <c r="B213" s="3">
        <v>46193.0</v>
      </c>
      <c r="C213" s="2" t="s">
        <v>16</v>
      </c>
      <c r="D213" s="2">
        <v>4.0</v>
      </c>
      <c r="E213" s="2">
        <v>176.62</v>
      </c>
      <c r="F213" s="2">
        <v>706.48</v>
      </c>
      <c r="G213" s="2" t="s">
        <v>14</v>
      </c>
      <c r="H213" s="2" t="s">
        <v>17</v>
      </c>
    </row>
    <row r="214">
      <c r="A214" s="1" t="s">
        <v>243</v>
      </c>
      <c r="B214" s="3">
        <v>46104.0</v>
      </c>
      <c r="C214" s="2" t="s">
        <v>64</v>
      </c>
      <c r="D214" s="2">
        <v>4.0</v>
      </c>
      <c r="E214" s="2">
        <v>19.88</v>
      </c>
      <c r="F214" s="2">
        <v>79.52</v>
      </c>
      <c r="G214" s="2" t="s">
        <v>20</v>
      </c>
      <c r="H214" s="2" t="s">
        <v>11</v>
      </c>
    </row>
    <row r="215">
      <c r="A215" s="1" t="s">
        <v>244</v>
      </c>
      <c r="B215" s="3">
        <v>46032.0</v>
      </c>
      <c r="C215" s="2" t="s">
        <v>39</v>
      </c>
      <c r="D215" s="2">
        <v>6.0</v>
      </c>
      <c r="E215" s="2">
        <v>80.46</v>
      </c>
      <c r="F215" s="2">
        <v>482.76</v>
      </c>
      <c r="G215" s="2" t="s">
        <v>20</v>
      </c>
      <c r="H215" s="2" t="s">
        <v>21</v>
      </c>
    </row>
    <row r="216">
      <c r="A216" s="1" t="s">
        <v>245</v>
      </c>
      <c r="B216" s="3">
        <v>46122.0</v>
      </c>
      <c r="C216" s="2" t="s">
        <v>19</v>
      </c>
      <c r="D216" s="2">
        <v>8.0</v>
      </c>
      <c r="E216" s="2">
        <v>59.83</v>
      </c>
      <c r="F216" s="2">
        <v>478.64</v>
      </c>
      <c r="G216" s="2" t="s">
        <v>10</v>
      </c>
      <c r="H216" s="2" t="s">
        <v>29</v>
      </c>
    </row>
    <row r="217">
      <c r="A217" s="1" t="s">
        <v>246</v>
      </c>
      <c r="B217" s="3">
        <v>46141.0</v>
      </c>
      <c r="C217" s="2" t="s">
        <v>33</v>
      </c>
      <c r="D217" s="2">
        <v>6.0</v>
      </c>
      <c r="E217" s="2">
        <v>247.09</v>
      </c>
      <c r="F217" s="2">
        <v>1482.54</v>
      </c>
      <c r="G217" s="2" t="s">
        <v>23</v>
      </c>
      <c r="H217" s="2" t="s">
        <v>29</v>
      </c>
    </row>
    <row r="218">
      <c r="A218" s="1" t="s">
        <v>247</v>
      </c>
      <c r="B218" s="3">
        <v>46055.0</v>
      </c>
      <c r="C218" s="2" t="s">
        <v>33</v>
      </c>
      <c r="D218" s="2">
        <v>8.0</v>
      </c>
      <c r="E218" s="2">
        <v>75.78</v>
      </c>
      <c r="F218" s="2">
        <v>606.24</v>
      </c>
      <c r="G218" s="2" t="s">
        <v>10</v>
      </c>
      <c r="H218" s="2" t="s">
        <v>29</v>
      </c>
    </row>
    <row r="219">
      <c r="A219" s="1" t="s">
        <v>248</v>
      </c>
      <c r="B219" s="3">
        <v>46125.0</v>
      </c>
      <c r="C219" s="2" t="s">
        <v>13</v>
      </c>
      <c r="D219" s="2">
        <v>8.0</v>
      </c>
      <c r="E219" s="2">
        <v>84.2</v>
      </c>
      <c r="F219" s="2">
        <v>673.6</v>
      </c>
      <c r="G219" s="2" t="s">
        <v>14</v>
      </c>
      <c r="H219" s="2" t="s">
        <v>40</v>
      </c>
    </row>
    <row r="220">
      <c r="A220" s="1" t="s">
        <v>249</v>
      </c>
      <c r="B220" s="3">
        <v>46194.0</v>
      </c>
      <c r="C220" s="2" t="s">
        <v>31</v>
      </c>
      <c r="D220" s="2">
        <v>6.0</v>
      </c>
      <c r="E220" s="2">
        <v>176.53</v>
      </c>
      <c r="F220" s="2">
        <v>1059.18</v>
      </c>
      <c r="G220" s="2" t="s">
        <v>20</v>
      </c>
      <c r="H220" s="2" t="s">
        <v>17</v>
      </c>
    </row>
    <row r="221">
      <c r="A221" s="1" t="s">
        <v>250</v>
      </c>
      <c r="B221" s="3">
        <v>46137.0</v>
      </c>
      <c r="C221" s="2" t="s">
        <v>28</v>
      </c>
      <c r="D221" s="2">
        <v>1.0</v>
      </c>
      <c r="E221" s="2">
        <v>41.52</v>
      </c>
      <c r="F221" s="2">
        <v>41.52</v>
      </c>
      <c r="G221" s="2" t="s">
        <v>23</v>
      </c>
      <c r="H221" s="2" t="s">
        <v>17</v>
      </c>
    </row>
    <row r="222">
      <c r="A222" s="1" t="s">
        <v>251</v>
      </c>
      <c r="B222" s="3">
        <v>46192.0</v>
      </c>
      <c r="C222" s="2" t="s">
        <v>9</v>
      </c>
      <c r="D222" s="2">
        <v>8.0</v>
      </c>
      <c r="E222" s="2">
        <v>170.93</v>
      </c>
      <c r="F222" s="2">
        <v>1367.44</v>
      </c>
      <c r="G222" s="2" t="s">
        <v>14</v>
      </c>
      <c r="H222" s="2" t="s">
        <v>36</v>
      </c>
    </row>
    <row r="223">
      <c r="A223" s="1" t="s">
        <v>252</v>
      </c>
      <c r="B223" s="3">
        <v>46046.0</v>
      </c>
      <c r="C223" s="2" t="s">
        <v>16</v>
      </c>
      <c r="D223" s="2">
        <v>6.0</v>
      </c>
      <c r="E223" s="2">
        <v>95.04</v>
      </c>
      <c r="F223" s="2">
        <v>570.24</v>
      </c>
      <c r="G223" s="2" t="s">
        <v>26</v>
      </c>
      <c r="H223" s="2" t="s">
        <v>36</v>
      </c>
    </row>
    <row r="224">
      <c r="A224" s="1" t="s">
        <v>253</v>
      </c>
      <c r="B224" s="3">
        <v>46197.0</v>
      </c>
      <c r="C224" s="2" t="s">
        <v>44</v>
      </c>
      <c r="D224" s="2">
        <v>5.0</v>
      </c>
      <c r="E224" s="2">
        <v>69.34</v>
      </c>
      <c r="F224" s="2">
        <v>346.7</v>
      </c>
      <c r="G224" s="2" t="s">
        <v>23</v>
      </c>
      <c r="H224" s="2" t="s">
        <v>21</v>
      </c>
    </row>
    <row r="225">
      <c r="A225" s="1" t="s">
        <v>254</v>
      </c>
      <c r="B225" s="3">
        <v>46141.0</v>
      </c>
      <c r="C225" s="2" t="s">
        <v>31</v>
      </c>
      <c r="D225" s="2">
        <v>6.0</v>
      </c>
      <c r="E225" s="2">
        <v>84.34</v>
      </c>
      <c r="F225" s="2">
        <v>506.04</v>
      </c>
      <c r="G225" s="2" t="s">
        <v>10</v>
      </c>
      <c r="H225" s="2" t="s">
        <v>29</v>
      </c>
    </row>
    <row r="226">
      <c r="A226" s="1" t="s">
        <v>255</v>
      </c>
      <c r="B226" s="3">
        <v>46083.0</v>
      </c>
      <c r="C226" s="2" t="s">
        <v>19</v>
      </c>
      <c r="D226" s="2">
        <v>7.0</v>
      </c>
      <c r="E226" s="2">
        <v>229.31</v>
      </c>
      <c r="F226" s="2">
        <v>1605.17</v>
      </c>
      <c r="G226" s="2" t="s">
        <v>20</v>
      </c>
      <c r="H226" s="2" t="s">
        <v>17</v>
      </c>
    </row>
    <row r="227">
      <c r="A227" s="1" t="s">
        <v>256</v>
      </c>
      <c r="B227" s="3">
        <v>46068.0</v>
      </c>
      <c r="C227" s="2" t="s">
        <v>16</v>
      </c>
      <c r="D227" s="2">
        <v>6.0</v>
      </c>
      <c r="E227" s="2">
        <v>94.56</v>
      </c>
      <c r="F227" s="2">
        <v>567.36</v>
      </c>
      <c r="G227" s="2" t="s">
        <v>14</v>
      </c>
      <c r="H227" s="2" t="s">
        <v>29</v>
      </c>
    </row>
    <row r="228">
      <c r="A228" s="1" t="s">
        <v>257</v>
      </c>
      <c r="B228" s="3">
        <v>46102.0</v>
      </c>
      <c r="C228" s="2" t="s">
        <v>64</v>
      </c>
      <c r="D228" s="2">
        <v>2.0</v>
      </c>
      <c r="E228" s="2">
        <v>69.33</v>
      </c>
      <c r="F228" s="2">
        <v>138.66</v>
      </c>
      <c r="G228" s="2" t="s">
        <v>26</v>
      </c>
      <c r="H228" s="2" t="s">
        <v>29</v>
      </c>
    </row>
    <row r="229">
      <c r="A229" s="1" t="s">
        <v>258</v>
      </c>
      <c r="B229" s="3">
        <v>46119.0</v>
      </c>
      <c r="C229" s="2" t="s">
        <v>64</v>
      </c>
      <c r="D229" s="2">
        <v>5.0</v>
      </c>
      <c r="E229" s="2">
        <v>188.12</v>
      </c>
      <c r="F229" s="2">
        <v>940.6</v>
      </c>
      <c r="G229" s="2" t="s">
        <v>23</v>
      </c>
      <c r="H229" s="2" t="s">
        <v>36</v>
      </c>
    </row>
    <row r="230">
      <c r="A230" s="1" t="s">
        <v>259</v>
      </c>
      <c r="B230" s="3">
        <v>46201.0</v>
      </c>
      <c r="C230" s="2" t="s">
        <v>35</v>
      </c>
      <c r="D230" s="2">
        <v>1.0</v>
      </c>
      <c r="E230" s="2">
        <v>246.25</v>
      </c>
      <c r="F230" s="2">
        <v>246.25</v>
      </c>
      <c r="G230" s="2" t="s">
        <v>23</v>
      </c>
      <c r="H230" s="2" t="s">
        <v>36</v>
      </c>
    </row>
    <row r="231">
      <c r="A231" s="1" t="s">
        <v>260</v>
      </c>
      <c r="B231" s="3">
        <v>46167.0</v>
      </c>
      <c r="C231" s="2" t="s">
        <v>19</v>
      </c>
      <c r="D231" s="2">
        <v>3.0</v>
      </c>
      <c r="E231" s="2">
        <v>112.88</v>
      </c>
      <c r="F231" s="2">
        <v>338.64</v>
      </c>
      <c r="G231" s="2" t="s">
        <v>10</v>
      </c>
      <c r="H231" s="2" t="s">
        <v>36</v>
      </c>
    </row>
    <row r="232">
      <c r="A232" s="1" t="s">
        <v>261</v>
      </c>
      <c r="B232" s="3">
        <v>46187.0</v>
      </c>
      <c r="C232" s="2" t="s">
        <v>25</v>
      </c>
      <c r="D232" s="2">
        <v>1.0</v>
      </c>
      <c r="E232" s="2">
        <v>231.32</v>
      </c>
      <c r="F232" s="2">
        <v>231.32</v>
      </c>
      <c r="G232" s="2" t="s">
        <v>10</v>
      </c>
      <c r="H232" s="2" t="s">
        <v>17</v>
      </c>
    </row>
    <row r="233">
      <c r="A233" s="1" t="s">
        <v>262</v>
      </c>
      <c r="B233" s="3">
        <v>46191.0</v>
      </c>
      <c r="C233" s="2" t="s">
        <v>16</v>
      </c>
      <c r="D233" s="2">
        <v>6.0</v>
      </c>
      <c r="E233" s="2">
        <v>22.2</v>
      </c>
      <c r="F233" s="2">
        <v>133.2</v>
      </c>
      <c r="G233" s="2" t="s">
        <v>14</v>
      </c>
      <c r="H233" s="2" t="s">
        <v>29</v>
      </c>
    </row>
    <row r="234">
      <c r="A234" s="1" t="s">
        <v>263</v>
      </c>
      <c r="B234" s="3">
        <v>46193.0</v>
      </c>
      <c r="C234" s="2" t="s">
        <v>44</v>
      </c>
      <c r="D234" s="2">
        <v>1.0</v>
      </c>
      <c r="E234" s="2">
        <v>183.55</v>
      </c>
      <c r="F234" s="2">
        <v>183.55</v>
      </c>
      <c r="G234" s="2" t="s">
        <v>26</v>
      </c>
      <c r="H234" s="2" t="s">
        <v>21</v>
      </c>
    </row>
    <row r="235">
      <c r="A235" s="1" t="s">
        <v>264</v>
      </c>
      <c r="B235" s="3">
        <v>46104.0</v>
      </c>
      <c r="C235" s="2" t="s">
        <v>35</v>
      </c>
      <c r="D235" s="2">
        <v>3.0</v>
      </c>
      <c r="E235" s="2">
        <v>108.9</v>
      </c>
      <c r="F235" s="2">
        <v>326.7</v>
      </c>
      <c r="G235" s="2" t="s">
        <v>23</v>
      </c>
      <c r="H235" s="2" t="s">
        <v>11</v>
      </c>
    </row>
    <row r="236">
      <c r="A236" s="1" t="s">
        <v>265</v>
      </c>
      <c r="B236" s="3">
        <v>46057.0</v>
      </c>
      <c r="C236" s="2" t="s">
        <v>44</v>
      </c>
      <c r="D236" s="2">
        <v>3.0</v>
      </c>
      <c r="E236" s="2">
        <v>51.62</v>
      </c>
      <c r="F236" s="2">
        <v>154.86</v>
      </c>
      <c r="G236" s="2" t="s">
        <v>10</v>
      </c>
      <c r="H236" s="2" t="s">
        <v>17</v>
      </c>
    </row>
    <row r="237">
      <c r="A237" s="1" t="s">
        <v>266</v>
      </c>
      <c r="B237" s="3">
        <v>46029.0</v>
      </c>
      <c r="C237" s="2" t="s">
        <v>35</v>
      </c>
      <c r="D237" s="2">
        <v>2.0</v>
      </c>
      <c r="E237" s="2">
        <v>115.03</v>
      </c>
      <c r="F237" s="2">
        <v>230.06</v>
      </c>
      <c r="G237" s="2" t="s">
        <v>26</v>
      </c>
      <c r="H237" s="2" t="s">
        <v>40</v>
      </c>
    </row>
    <row r="238">
      <c r="A238" s="1" t="s">
        <v>267</v>
      </c>
      <c r="B238" s="3">
        <v>46191.0</v>
      </c>
      <c r="C238" s="2" t="s">
        <v>28</v>
      </c>
      <c r="D238" s="2">
        <v>8.0</v>
      </c>
      <c r="E238" s="2">
        <v>208.4</v>
      </c>
      <c r="F238" s="2">
        <v>1667.2</v>
      </c>
      <c r="G238" s="2" t="s">
        <v>10</v>
      </c>
      <c r="H238" s="2" t="s">
        <v>11</v>
      </c>
    </row>
    <row r="239">
      <c r="A239" s="1" t="s">
        <v>268</v>
      </c>
      <c r="B239" s="3">
        <v>46167.0</v>
      </c>
      <c r="C239" s="2" t="s">
        <v>39</v>
      </c>
      <c r="D239" s="2">
        <v>2.0</v>
      </c>
      <c r="E239" s="2">
        <v>137.09</v>
      </c>
      <c r="F239" s="2">
        <v>274.18</v>
      </c>
      <c r="G239" s="2" t="s">
        <v>20</v>
      </c>
      <c r="H239" s="2" t="s">
        <v>29</v>
      </c>
    </row>
    <row r="240">
      <c r="A240" s="1" t="s">
        <v>269</v>
      </c>
      <c r="B240" s="3">
        <v>46157.0</v>
      </c>
      <c r="C240" s="2" t="s">
        <v>25</v>
      </c>
      <c r="D240" s="2">
        <v>6.0</v>
      </c>
      <c r="E240" s="2">
        <v>163.43</v>
      </c>
      <c r="F240" s="2">
        <v>980.58</v>
      </c>
      <c r="G240" s="2" t="s">
        <v>14</v>
      </c>
      <c r="H240" s="2" t="s">
        <v>21</v>
      </c>
    </row>
    <row r="241">
      <c r="A241" s="1" t="s">
        <v>270</v>
      </c>
      <c r="B241" s="3">
        <v>46116.0</v>
      </c>
      <c r="C241" s="2" t="s">
        <v>19</v>
      </c>
      <c r="D241" s="2">
        <v>6.0</v>
      </c>
      <c r="E241" s="2">
        <v>160.47</v>
      </c>
      <c r="F241" s="2">
        <v>962.82</v>
      </c>
      <c r="G241" s="2" t="s">
        <v>23</v>
      </c>
      <c r="H241" s="2" t="s">
        <v>40</v>
      </c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1" t="s">
        <v>8</v>
      </c>
      <c r="B2" s="3">
        <v>46146.0</v>
      </c>
      <c r="C2" s="2" t="s">
        <v>9</v>
      </c>
      <c r="D2" s="2">
        <v>6.0</v>
      </c>
      <c r="E2" s="2">
        <v>112.7</v>
      </c>
      <c r="F2" s="2">
        <v>676.2</v>
      </c>
      <c r="G2" s="2" t="s">
        <v>10</v>
      </c>
      <c r="H2" s="2" t="s">
        <v>11</v>
      </c>
    </row>
    <row r="3">
      <c r="A3" s="1" t="s">
        <v>12</v>
      </c>
      <c r="B3" s="3">
        <v>46199.0</v>
      </c>
      <c r="C3" s="2" t="s">
        <v>13</v>
      </c>
      <c r="D3" s="2">
        <v>6.0</v>
      </c>
      <c r="E3" s="2">
        <v>35.78</v>
      </c>
      <c r="F3" s="2">
        <v>214.68</v>
      </c>
      <c r="G3" s="2" t="s">
        <v>14</v>
      </c>
      <c r="H3" s="2" t="s">
        <v>11</v>
      </c>
    </row>
    <row r="4">
      <c r="A4" s="1" t="s">
        <v>15</v>
      </c>
      <c r="B4" s="3">
        <v>46089.0</v>
      </c>
      <c r="C4" s="2" t="s">
        <v>16</v>
      </c>
      <c r="D4" s="2">
        <v>1.0</v>
      </c>
      <c r="E4" s="2">
        <v>111.15</v>
      </c>
      <c r="F4" s="2">
        <v>111.15</v>
      </c>
      <c r="G4" s="2" t="s">
        <v>14</v>
      </c>
      <c r="H4" s="2" t="s">
        <v>17</v>
      </c>
    </row>
    <row r="5">
      <c r="A5" s="1" t="s">
        <v>18</v>
      </c>
      <c r="B5" s="3">
        <v>46067.0</v>
      </c>
      <c r="C5" s="2" t="s">
        <v>19</v>
      </c>
      <c r="D5" s="2">
        <v>1.0</v>
      </c>
      <c r="E5" s="2">
        <v>112.67</v>
      </c>
      <c r="F5" s="2">
        <v>112.67</v>
      </c>
      <c r="G5" s="2" t="s">
        <v>20</v>
      </c>
      <c r="H5" s="2" t="s">
        <v>21</v>
      </c>
    </row>
    <row r="6">
      <c r="A6" s="1" t="s">
        <v>22</v>
      </c>
      <c r="B6" s="3">
        <v>46075.0</v>
      </c>
      <c r="C6" s="2" t="s">
        <v>19</v>
      </c>
      <c r="D6" s="2">
        <v>1.0</v>
      </c>
      <c r="E6" s="2">
        <v>54.09</v>
      </c>
      <c r="F6" s="2">
        <v>54.09</v>
      </c>
      <c r="G6" s="2" t="s">
        <v>23</v>
      </c>
      <c r="H6" s="2" t="s">
        <v>11</v>
      </c>
    </row>
    <row r="7">
      <c r="A7" s="1" t="s">
        <v>24</v>
      </c>
      <c r="B7" s="3">
        <v>46040.0</v>
      </c>
      <c r="C7" s="2" t="s">
        <v>25</v>
      </c>
      <c r="D7" s="2">
        <v>4.0</v>
      </c>
      <c r="E7" s="2">
        <v>215.54</v>
      </c>
      <c r="F7" s="2">
        <v>862.16</v>
      </c>
      <c r="G7" s="2" t="s">
        <v>26</v>
      </c>
      <c r="H7" s="2" t="s">
        <v>21</v>
      </c>
    </row>
    <row r="8">
      <c r="A8" s="1" t="s">
        <v>27</v>
      </c>
      <c r="B8" s="3">
        <v>46125.0</v>
      </c>
      <c r="C8" s="2" t="s">
        <v>28</v>
      </c>
      <c r="D8" s="2">
        <v>3.0</v>
      </c>
      <c r="E8" s="2">
        <v>17.52</v>
      </c>
      <c r="F8" s="2">
        <v>52.56</v>
      </c>
      <c r="G8" s="2" t="s">
        <v>20</v>
      </c>
      <c r="H8" s="2" t="s">
        <v>29</v>
      </c>
    </row>
    <row r="9">
      <c r="A9" s="1" t="s">
        <v>30</v>
      </c>
      <c r="B9" s="3">
        <v>46148.0</v>
      </c>
      <c r="C9" s="2" t="s">
        <v>31</v>
      </c>
      <c r="D9" s="2">
        <v>6.0</v>
      </c>
      <c r="E9" s="2">
        <v>181.65</v>
      </c>
      <c r="F9" s="2">
        <v>1089.9</v>
      </c>
      <c r="G9" s="2" t="s">
        <v>26</v>
      </c>
      <c r="H9" s="2" t="s">
        <v>21</v>
      </c>
    </row>
    <row r="10">
      <c r="A10" s="1" t="s">
        <v>32</v>
      </c>
      <c r="B10" s="3">
        <v>46116.0</v>
      </c>
      <c r="C10" s="2" t="s">
        <v>33</v>
      </c>
      <c r="D10" s="2">
        <v>8.0</v>
      </c>
      <c r="E10" s="2">
        <v>28.72</v>
      </c>
      <c r="F10" s="2">
        <v>229.76</v>
      </c>
      <c r="G10" s="2" t="s">
        <v>20</v>
      </c>
      <c r="H10" s="2" t="s">
        <v>11</v>
      </c>
    </row>
    <row r="11">
      <c r="A11" s="1" t="s">
        <v>34</v>
      </c>
      <c r="B11" s="3">
        <v>46082.0</v>
      </c>
      <c r="C11" s="2" t="s">
        <v>35</v>
      </c>
      <c r="D11" s="2">
        <v>7.0</v>
      </c>
      <c r="E11" s="2">
        <v>143.97</v>
      </c>
      <c r="F11" s="2">
        <v>1007.79</v>
      </c>
      <c r="G11" s="2" t="s">
        <v>20</v>
      </c>
      <c r="H11" s="2" t="s">
        <v>36</v>
      </c>
    </row>
    <row r="12">
      <c r="A12" s="1" t="s">
        <v>37</v>
      </c>
      <c r="B12" s="3">
        <v>46049.0</v>
      </c>
      <c r="C12" s="2" t="s">
        <v>28</v>
      </c>
      <c r="D12" s="2">
        <v>7.0</v>
      </c>
      <c r="E12" s="2">
        <v>147.79</v>
      </c>
      <c r="F12" s="2">
        <v>1034.53</v>
      </c>
      <c r="G12" s="2" t="s">
        <v>10</v>
      </c>
      <c r="H12" s="2" t="s">
        <v>36</v>
      </c>
    </row>
    <row r="13">
      <c r="A13" s="1" t="s">
        <v>38</v>
      </c>
      <c r="B13" s="3">
        <v>46161.0</v>
      </c>
      <c r="C13" s="2" t="s">
        <v>39</v>
      </c>
      <c r="D13" s="2">
        <v>5.0</v>
      </c>
      <c r="E13" s="2">
        <v>206.67</v>
      </c>
      <c r="F13" s="2">
        <v>1033.35</v>
      </c>
      <c r="G13" s="2" t="s">
        <v>10</v>
      </c>
      <c r="H13" s="2" t="s">
        <v>40</v>
      </c>
    </row>
    <row r="14">
      <c r="A14" s="1" t="s">
        <v>41</v>
      </c>
      <c r="B14" s="3">
        <v>46131.0</v>
      </c>
      <c r="C14" s="2" t="s">
        <v>13</v>
      </c>
      <c r="D14" s="2">
        <v>6.0</v>
      </c>
      <c r="E14" s="2">
        <v>119.74</v>
      </c>
      <c r="F14" s="2">
        <v>718.44</v>
      </c>
      <c r="G14" s="2" t="s">
        <v>14</v>
      </c>
      <c r="H14" s="2" t="s">
        <v>29</v>
      </c>
    </row>
    <row r="15">
      <c r="A15" s="1" t="s">
        <v>42</v>
      </c>
      <c r="B15" s="3">
        <v>46128.0</v>
      </c>
      <c r="C15" s="2" t="s">
        <v>9</v>
      </c>
      <c r="D15" s="2">
        <v>2.0</v>
      </c>
      <c r="E15" s="2">
        <v>179.18</v>
      </c>
      <c r="F15" s="2">
        <v>358.36</v>
      </c>
      <c r="G15" s="2" t="s">
        <v>10</v>
      </c>
      <c r="H15" s="2" t="s">
        <v>29</v>
      </c>
    </row>
    <row r="16">
      <c r="A16" s="1" t="s">
        <v>43</v>
      </c>
      <c r="B16" s="3">
        <v>46187.0</v>
      </c>
      <c r="C16" s="2" t="s">
        <v>44</v>
      </c>
      <c r="D16" s="2">
        <v>8.0</v>
      </c>
      <c r="E16" s="2">
        <v>149.41</v>
      </c>
      <c r="F16" s="2">
        <v>1195.28</v>
      </c>
      <c r="G16" s="2" t="s">
        <v>20</v>
      </c>
      <c r="H16" s="2" t="s">
        <v>40</v>
      </c>
    </row>
    <row r="17">
      <c r="A17" s="1" t="s">
        <v>45</v>
      </c>
      <c r="B17" s="3">
        <v>46028.0</v>
      </c>
      <c r="C17" s="2" t="s">
        <v>35</v>
      </c>
      <c r="D17" s="2">
        <v>1.0</v>
      </c>
      <c r="E17" s="2">
        <v>223.56</v>
      </c>
      <c r="F17" s="2">
        <v>223.56</v>
      </c>
      <c r="G17" s="2" t="s">
        <v>23</v>
      </c>
      <c r="H17" s="2" t="s">
        <v>17</v>
      </c>
    </row>
    <row r="18">
      <c r="A18" s="1" t="s">
        <v>46</v>
      </c>
      <c r="B18" s="3">
        <v>46092.0</v>
      </c>
      <c r="C18" s="2" t="s">
        <v>25</v>
      </c>
      <c r="D18" s="2">
        <v>7.0</v>
      </c>
      <c r="E18" s="2">
        <v>59.12</v>
      </c>
      <c r="F18" s="2">
        <v>413.84</v>
      </c>
      <c r="G18" s="2" t="s">
        <v>10</v>
      </c>
      <c r="H18" s="2" t="s">
        <v>40</v>
      </c>
    </row>
    <row r="19">
      <c r="A19" s="1" t="s">
        <v>47</v>
      </c>
      <c r="B19" s="3">
        <v>46129.0</v>
      </c>
      <c r="C19" s="2" t="s">
        <v>9</v>
      </c>
      <c r="D19" s="2">
        <v>7.0</v>
      </c>
      <c r="E19" s="2">
        <v>90.62</v>
      </c>
      <c r="F19" s="2">
        <v>634.34</v>
      </c>
      <c r="G19" s="2" t="s">
        <v>20</v>
      </c>
      <c r="H19" s="2" t="s">
        <v>36</v>
      </c>
    </row>
    <row r="20">
      <c r="A20" s="1" t="s">
        <v>48</v>
      </c>
      <c r="B20" s="3">
        <v>46032.0</v>
      </c>
      <c r="C20" s="2" t="s">
        <v>19</v>
      </c>
      <c r="D20" s="2">
        <v>2.0</v>
      </c>
      <c r="E20" s="2">
        <v>197.09</v>
      </c>
      <c r="F20" s="2">
        <v>394.18</v>
      </c>
      <c r="G20" s="2" t="s">
        <v>20</v>
      </c>
      <c r="H20" s="2" t="s">
        <v>11</v>
      </c>
    </row>
    <row r="21">
      <c r="A21" s="1" t="s">
        <v>49</v>
      </c>
      <c r="B21" s="3">
        <v>46202.0</v>
      </c>
      <c r="C21" s="2" t="s">
        <v>33</v>
      </c>
      <c r="D21" s="2">
        <v>4.0</v>
      </c>
      <c r="E21" s="2">
        <v>167.13</v>
      </c>
      <c r="F21" s="2">
        <v>668.52</v>
      </c>
      <c r="G21" s="2" t="s">
        <v>20</v>
      </c>
      <c r="H21" s="2" t="s">
        <v>36</v>
      </c>
    </row>
    <row r="22">
      <c r="A22" s="1" t="s">
        <v>50</v>
      </c>
      <c r="B22" s="3">
        <v>46128.0</v>
      </c>
      <c r="C22" s="2" t="s">
        <v>39</v>
      </c>
      <c r="D22" s="2">
        <v>3.0</v>
      </c>
      <c r="E22" s="2">
        <v>63.19</v>
      </c>
      <c r="F22" s="2">
        <v>189.57</v>
      </c>
      <c r="G22" s="2" t="s">
        <v>14</v>
      </c>
      <c r="H22" s="2" t="s">
        <v>11</v>
      </c>
    </row>
    <row r="23">
      <c r="A23" s="1" t="s">
        <v>51</v>
      </c>
      <c r="B23" s="3">
        <v>46098.0</v>
      </c>
      <c r="C23" s="2" t="s">
        <v>44</v>
      </c>
      <c r="D23" s="2">
        <v>3.0</v>
      </c>
      <c r="E23" s="2">
        <v>36.67</v>
      </c>
      <c r="F23" s="2">
        <v>110.01</v>
      </c>
      <c r="G23" s="2" t="s">
        <v>20</v>
      </c>
      <c r="H23" s="2" t="s">
        <v>29</v>
      </c>
    </row>
    <row r="24">
      <c r="A24" s="1" t="s">
        <v>52</v>
      </c>
      <c r="B24" s="3">
        <v>46107.0</v>
      </c>
      <c r="C24" s="2" t="s">
        <v>13</v>
      </c>
      <c r="D24" s="2">
        <v>2.0</v>
      </c>
      <c r="E24" s="2">
        <v>179.02</v>
      </c>
      <c r="F24" s="2">
        <v>358.04</v>
      </c>
      <c r="G24" s="2" t="s">
        <v>23</v>
      </c>
      <c r="H24" s="2" t="s">
        <v>21</v>
      </c>
    </row>
    <row r="25">
      <c r="A25" s="1" t="s">
        <v>53</v>
      </c>
      <c r="B25" s="3">
        <v>46111.0</v>
      </c>
      <c r="C25" s="2" t="s">
        <v>25</v>
      </c>
      <c r="D25" s="2">
        <v>1.0</v>
      </c>
      <c r="E25" s="2">
        <v>54.88</v>
      </c>
      <c r="F25" s="2">
        <v>54.88</v>
      </c>
      <c r="G25" s="2" t="s">
        <v>23</v>
      </c>
      <c r="H25" s="2" t="s">
        <v>17</v>
      </c>
    </row>
    <row r="26">
      <c r="A26" s="1" t="s">
        <v>54</v>
      </c>
      <c r="B26" s="3">
        <v>46201.0</v>
      </c>
      <c r="C26" s="2" t="s">
        <v>33</v>
      </c>
      <c r="D26" s="2">
        <v>4.0</v>
      </c>
      <c r="E26" s="2">
        <v>161.26</v>
      </c>
      <c r="F26" s="2">
        <v>645.04</v>
      </c>
      <c r="G26" s="2" t="s">
        <v>20</v>
      </c>
      <c r="H26" s="2" t="s">
        <v>17</v>
      </c>
    </row>
    <row r="27">
      <c r="A27" s="1" t="s">
        <v>55</v>
      </c>
      <c r="B27" s="3">
        <v>46163.0</v>
      </c>
      <c r="C27" s="2" t="s">
        <v>33</v>
      </c>
      <c r="D27" s="2">
        <v>5.0</v>
      </c>
      <c r="E27" s="2">
        <v>214.71</v>
      </c>
      <c r="F27" s="2">
        <v>1073.55</v>
      </c>
      <c r="G27" s="2" t="s">
        <v>26</v>
      </c>
      <c r="H27" s="2" t="s">
        <v>11</v>
      </c>
    </row>
    <row r="28">
      <c r="A28" s="1" t="s">
        <v>56</v>
      </c>
      <c r="B28" s="3">
        <v>46064.0</v>
      </c>
      <c r="C28" s="2" t="s">
        <v>39</v>
      </c>
      <c r="D28" s="2">
        <v>5.0</v>
      </c>
      <c r="E28" s="2">
        <v>12.96</v>
      </c>
      <c r="F28" s="2">
        <v>64.8</v>
      </c>
      <c r="G28" s="2" t="s">
        <v>23</v>
      </c>
      <c r="H28" s="2" t="s">
        <v>11</v>
      </c>
    </row>
    <row r="29">
      <c r="A29" s="1" t="s">
        <v>57</v>
      </c>
      <c r="B29" s="3">
        <v>46040.0</v>
      </c>
      <c r="C29" s="2" t="s">
        <v>28</v>
      </c>
      <c r="D29" s="2">
        <v>5.0</v>
      </c>
      <c r="E29" s="2">
        <v>68.38</v>
      </c>
      <c r="F29" s="2">
        <v>341.9</v>
      </c>
      <c r="G29" s="2" t="s">
        <v>23</v>
      </c>
      <c r="H29" s="2" t="s">
        <v>36</v>
      </c>
    </row>
    <row r="30">
      <c r="A30" s="1" t="s">
        <v>58</v>
      </c>
      <c r="B30" s="3">
        <v>46194.0</v>
      </c>
      <c r="C30" s="2" t="s">
        <v>9</v>
      </c>
      <c r="D30" s="2">
        <v>4.0</v>
      </c>
      <c r="E30" s="2">
        <v>30.61</v>
      </c>
      <c r="F30" s="2">
        <v>122.44</v>
      </c>
      <c r="G30" s="2" t="s">
        <v>23</v>
      </c>
      <c r="H30" s="2" t="s">
        <v>17</v>
      </c>
    </row>
    <row r="31">
      <c r="A31" s="1" t="s">
        <v>59</v>
      </c>
      <c r="B31" s="3">
        <v>46046.0</v>
      </c>
      <c r="C31" s="2" t="s">
        <v>9</v>
      </c>
      <c r="D31" s="2">
        <v>8.0</v>
      </c>
      <c r="E31" s="2">
        <v>103.99</v>
      </c>
      <c r="F31" s="2">
        <v>831.92</v>
      </c>
      <c r="G31" s="2" t="s">
        <v>23</v>
      </c>
      <c r="H31" s="2" t="s">
        <v>36</v>
      </c>
    </row>
    <row r="32">
      <c r="A32" s="1" t="s">
        <v>60</v>
      </c>
      <c r="B32" s="3">
        <v>46067.0</v>
      </c>
      <c r="C32" s="2" t="s">
        <v>25</v>
      </c>
      <c r="D32" s="2">
        <v>1.0</v>
      </c>
      <c r="E32" s="2">
        <v>217.69</v>
      </c>
      <c r="F32" s="2">
        <v>217.69</v>
      </c>
      <c r="G32" s="2" t="s">
        <v>23</v>
      </c>
      <c r="H32" s="2" t="s">
        <v>17</v>
      </c>
    </row>
    <row r="33">
      <c r="A33" s="1" t="s">
        <v>61</v>
      </c>
      <c r="B33" s="3">
        <v>46186.0</v>
      </c>
      <c r="C33" s="2" t="s">
        <v>39</v>
      </c>
      <c r="D33" s="2">
        <v>4.0</v>
      </c>
      <c r="E33" s="2">
        <v>248.32</v>
      </c>
      <c r="F33" s="2">
        <v>993.28</v>
      </c>
      <c r="G33" s="2" t="s">
        <v>10</v>
      </c>
      <c r="H33" s="2" t="s">
        <v>40</v>
      </c>
    </row>
    <row r="34">
      <c r="A34" s="1" t="s">
        <v>62</v>
      </c>
      <c r="B34" s="3">
        <v>46065.0</v>
      </c>
      <c r="C34" s="2" t="s">
        <v>33</v>
      </c>
      <c r="D34" s="2">
        <v>7.0</v>
      </c>
      <c r="E34" s="2">
        <v>197.63</v>
      </c>
      <c r="F34" s="2">
        <v>1383.41</v>
      </c>
      <c r="G34" s="2" t="s">
        <v>26</v>
      </c>
      <c r="H34" s="2" t="s">
        <v>21</v>
      </c>
    </row>
    <row r="35">
      <c r="A35" s="1" t="s">
        <v>63</v>
      </c>
      <c r="B35" s="3">
        <v>46135.0</v>
      </c>
      <c r="C35" s="2" t="s">
        <v>64</v>
      </c>
      <c r="D35" s="2">
        <v>1.0</v>
      </c>
      <c r="E35" s="2">
        <v>153.5</v>
      </c>
      <c r="F35" s="2">
        <v>153.5</v>
      </c>
      <c r="G35" s="2" t="s">
        <v>20</v>
      </c>
      <c r="H35" s="2" t="s">
        <v>11</v>
      </c>
    </row>
    <row r="36">
      <c r="A36" s="1" t="s">
        <v>65</v>
      </c>
      <c r="B36" s="3">
        <v>46201.0</v>
      </c>
      <c r="C36" s="2" t="s">
        <v>19</v>
      </c>
      <c r="D36" s="2">
        <v>4.0</v>
      </c>
      <c r="E36" s="2">
        <v>202.9</v>
      </c>
      <c r="F36" s="2">
        <v>811.6</v>
      </c>
      <c r="G36" s="2" t="s">
        <v>14</v>
      </c>
      <c r="H36" s="2" t="s">
        <v>21</v>
      </c>
    </row>
    <row r="37">
      <c r="A37" s="1" t="s">
        <v>66</v>
      </c>
      <c r="B37" s="3">
        <v>46079.0</v>
      </c>
      <c r="C37" s="2" t="s">
        <v>39</v>
      </c>
      <c r="D37" s="2">
        <v>5.0</v>
      </c>
      <c r="E37" s="2">
        <v>135.96</v>
      </c>
      <c r="F37" s="2">
        <v>679.8</v>
      </c>
      <c r="G37" s="2" t="s">
        <v>23</v>
      </c>
      <c r="H37" s="2" t="s">
        <v>40</v>
      </c>
    </row>
    <row r="38">
      <c r="A38" s="1" t="s">
        <v>67</v>
      </c>
      <c r="B38" s="3">
        <v>46024.0</v>
      </c>
      <c r="C38" s="2" t="s">
        <v>28</v>
      </c>
      <c r="D38" s="2">
        <v>6.0</v>
      </c>
      <c r="E38" s="2">
        <v>74.49</v>
      </c>
      <c r="F38" s="2">
        <v>446.94</v>
      </c>
      <c r="G38" s="2" t="s">
        <v>20</v>
      </c>
      <c r="H38" s="2" t="s">
        <v>40</v>
      </c>
    </row>
    <row r="39">
      <c r="A39" s="1" t="s">
        <v>68</v>
      </c>
      <c r="B39" s="3">
        <v>46055.0</v>
      </c>
      <c r="C39" s="2" t="s">
        <v>39</v>
      </c>
      <c r="D39" s="2">
        <v>4.0</v>
      </c>
      <c r="E39" s="2">
        <v>115.64</v>
      </c>
      <c r="F39" s="2">
        <v>462.56</v>
      </c>
      <c r="G39" s="2" t="s">
        <v>20</v>
      </c>
      <c r="H39" s="2" t="s">
        <v>17</v>
      </c>
    </row>
    <row r="40">
      <c r="A40" s="1" t="s">
        <v>69</v>
      </c>
      <c r="B40" s="3">
        <v>46182.0</v>
      </c>
      <c r="C40" s="2" t="s">
        <v>33</v>
      </c>
      <c r="D40" s="2">
        <v>5.0</v>
      </c>
      <c r="E40" s="2">
        <v>245.5</v>
      </c>
      <c r="F40" s="2">
        <v>1227.5</v>
      </c>
      <c r="G40" s="2" t="s">
        <v>23</v>
      </c>
      <c r="H40" s="2" t="s">
        <v>17</v>
      </c>
    </row>
    <row r="41">
      <c r="A41" s="1" t="s">
        <v>70</v>
      </c>
      <c r="B41" s="3">
        <v>46142.0</v>
      </c>
      <c r="C41" s="2" t="s">
        <v>33</v>
      </c>
      <c r="D41" s="2">
        <v>5.0</v>
      </c>
      <c r="E41" s="2">
        <v>161.72</v>
      </c>
      <c r="F41" s="2">
        <v>808.6</v>
      </c>
      <c r="G41" s="2" t="s">
        <v>23</v>
      </c>
      <c r="H41" s="2" t="s">
        <v>36</v>
      </c>
    </row>
    <row r="42">
      <c r="A42" s="1" t="s">
        <v>71</v>
      </c>
      <c r="B42" s="3">
        <v>46079.0</v>
      </c>
      <c r="C42" s="2" t="s">
        <v>31</v>
      </c>
      <c r="D42" s="2">
        <v>1.0</v>
      </c>
      <c r="E42" s="2">
        <v>213.38</v>
      </c>
      <c r="F42" s="2">
        <v>213.38</v>
      </c>
      <c r="G42" s="2" t="s">
        <v>20</v>
      </c>
      <c r="H42" s="2" t="s">
        <v>11</v>
      </c>
    </row>
    <row r="43">
      <c r="A43" s="1" t="s">
        <v>72</v>
      </c>
      <c r="B43" s="3">
        <v>46151.0</v>
      </c>
      <c r="C43" s="2" t="s">
        <v>28</v>
      </c>
      <c r="D43" s="2">
        <v>3.0</v>
      </c>
      <c r="E43" s="2">
        <v>221.01</v>
      </c>
      <c r="F43" s="2">
        <v>663.03</v>
      </c>
      <c r="G43" s="2" t="s">
        <v>23</v>
      </c>
      <c r="H43" s="2" t="s">
        <v>17</v>
      </c>
    </row>
    <row r="44">
      <c r="A44" s="1" t="s">
        <v>73</v>
      </c>
      <c r="B44" s="3">
        <v>46165.0</v>
      </c>
      <c r="C44" s="2" t="s">
        <v>19</v>
      </c>
      <c r="D44" s="2">
        <v>4.0</v>
      </c>
      <c r="E44" s="2">
        <v>158.95</v>
      </c>
      <c r="F44" s="2">
        <v>635.8</v>
      </c>
      <c r="G44" s="2" t="s">
        <v>10</v>
      </c>
      <c r="H44" s="2" t="s">
        <v>17</v>
      </c>
    </row>
    <row r="45">
      <c r="A45" s="1" t="s">
        <v>74</v>
      </c>
      <c r="B45" s="3">
        <v>46054.0</v>
      </c>
      <c r="C45" s="2" t="s">
        <v>28</v>
      </c>
      <c r="D45" s="2">
        <v>5.0</v>
      </c>
      <c r="E45" s="2">
        <v>37.47</v>
      </c>
      <c r="F45" s="2">
        <v>187.35</v>
      </c>
      <c r="G45" s="2" t="s">
        <v>26</v>
      </c>
      <c r="H45" s="2" t="s">
        <v>21</v>
      </c>
    </row>
    <row r="46">
      <c r="A46" s="1" t="s">
        <v>75</v>
      </c>
      <c r="B46" s="3">
        <v>46114.0</v>
      </c>
      <c r="C46" s="2" t="s">
        <v>39</v>
      </c>
      <c r="D46" s="2">
        <v>7.0</v>
      </c>
      <c r="E46" s="2">
        <v>124.94</v>
      </c>
      <c r="F46" s="2">
        <v>874.58</v>
      </c>
      <c r="G46" s="2" t="s">
        <v>14</v>
      </c>
      <c r="H46" s="2" t="s">
        <v>11</v>
      </c>
    </row>
    <row r="47">
      <c r="A47" s="1" t="s">
        <v>76</v>
      </c>
      <c r="B47" s="3">
        <v>46153.0</v>
      </c>
      <c r="C47" s="2" t="s">
        <v>16</v>
      </c>
      <c r="D47" s="2">
        <v>1.0</v>
      </c>
      <c r="E47" s="2">
        <v>80.58</v>
      </c>
      <c r="F47" s="2">
        <v>80.58</v>
      </c>
      <c r="G47" s="2" t="s">
        <v>26</v>
      </c>
      <c r="H47" s="2" t="s">
        <v>40</v>
      </c>
    </row>
    <row r="48">
      <c r="A48" s="1" t="s">
        <v>77</v>
      </c>
      <c r="B48" s="3">
        <v>46052.0</v>
      </c>
      <c r="C48" s="2" t="s">
        <v>44</v>
      </c>
      <c r="D48" s="2">
        <v>7.0</v>
      </c>
      <c r="E48" s="2">
        <v>143.93</v>
      </c>
      <c r="F48" s="2">
        <v>1007.51</v>
      </c>
      <c r="G48" s="2" t="s">
        <v>20</v>
      </c>
      <c r="H48" s="2" t="s">
        <v>11</v>
      </c>
    </row>
    <row r="49">
      <c r="A49" s="1" t="s">
        <v>78</v>
      </c>
      <c r="B49" s="3">
        <v>46026.0</v>
      </c>
      <c r="C49" s="2" t="s">
        <v>35</v>
      </c>
      <c r="D49" s="2">
        <v>1.0</v>
      </c>
      <c r="E49" s="2">
        <v>151.12</v>
      </c>
      <c r="F49" s="2">
        <v>151.12</v>
      </c>
      <c r="G49" s="2" t="s">
        <v>26</v>
      </c>
      <c r="H49" s="2" t="s">
        <v>29</v>
      </c>
    </row>
    <row r="50">
      <c r="A50" s="1" t="s">
        <v>79</v>
      </c>
      <c r="B50" s="3">
        <v>46124.0</v>
      </c>
      <c r="C50" s="2" t="s">
        <v>28</v>
      </c>
      <c r="D50" s="2">
        <v>4.0</v>
      </c>
      <c r="E50" s="2">
        <v>84.27</v>
      </c>
      <c r="F50" s="2">
        <v>337.08</v>
      </c>
      <c r="G50" s="2" t="s">
        <v>14</v>
      </c>
      <c r="H50" s="2" t="s">
        <v>21</v>
      </c>
    </row>
    <row r="51">
      <c r="A51" s="1" t="s">
        <v>80</v>
      </c>
      <c r="B51" s="3">
        <v>46049.0</v>
      </c>
      <c r="C51" s="2" t="s">
        <v>39</v>
      </c>
      <c r="D51" s="2">
        <v>1.0</v>
      </c>
      <c r="E51" s="2">
        <v>96.96</v>
      </c>
      <c r="F51" s="2">
        <v>96.96</v>
      </c>
      <c r="G51" s="2" t="s">
        <v>10</v>
      </c>
      <c r="H51" s="2" t="s">
        <v>11</v>
      </c>
    </row>
    <row r="52">
      <c r="A52" s="1" t="s">
        <v>81</v>
      </c>
      <c r="B52" s="3">
        <v>46038.0</v>
      </c>
      <c r="C52" s="2" t="s">
        <v>35</v>
      </c>
      <c r="D52" s="2">
        <v>7.0</v>
      </c>
      <c r="E52" s="2">
        <v>155.39</v>
      </c>
      <c r="F52" s="2">
        <v>1087.73</v>
      </c>
      <c r="G52" s="2" t="s">
        <v>23</v>
      </c>
      <c r="H52" s="2" t="s">
        <v>21</v>
      </c>
    </row>
    <row r="53">
      <c r="A53" s="1" t="s">
        <v>82</v>
      </c>
      <c r="B53" s="3">
        <v>46085.0</v>
      </c>
      <c r="C53" s="2" t="s">
        <v>9</v>
      </c>
      <c r="D53" s="2">
        <v>3.0</v>
      </c>
      <c r="E53" s="2">
        <v>125.54</v>
      </c>
      <c r="F53" s="2">
        <v>376.62</v>
      </c>
      <c r="G53" s="2" t="s">
        <v>20</v>
      </c>
      <c r="H53" s="2" t="s">
        <v>11</v>
      </c>
    </row>
    <row r="54">
      <c r="A54" s="1" t="s">
        <v>83</v>
      </c>
      <c r="B54" s="3">
        <v>46103.0</v>
      </c>
      <c r="C54" s="2" t="s">
        <v>35</v>
      </c>
      <c r="D54" s="2">
        <v>5.0</v>
      </c>
      <c r="E54" s="2">
        <v>70.79</v>
      </c>
      <c r="F54" s="2">
        <v>353.95</v>
      </c>
      <c r="G54" s="2" t="s">
        <v>20</v>
      </c>
      <c r="H54" s="2" t="s">
        <v>29</v>
      </c>
    </row>
    <row r="55">
      <c r="A55" s="1" t="s">
        <v>84</v>
      </c>
      <c r="B55" s="3">
        <v>46151.0</v>
      </c>
      <c r="C55" s="2" t="s">
        <v>31</v>
      </c>
      <c r="D55" s="2">
        <v>6.0</v>
      </c>
      <c r="E55" s="2">
        <v>204.83</v>
      </c>
      <c r="F55" s="2">
        <v>1228.98</v>
      </c>
      <c r="G55" s="2" t="s">
        <v>23</v>
      </c>
      <c r="H55" s="2" t="s">
        <v>11</v>
      </c>
    </row>
    <row r="56">
      <c r="A56" s="1" t="s">
        <v>85</v>
      </c>
      <c r="B56" s="3">
        <v>46196.0</v>
      </c>
      <c r="C56" s="2" t="s">
        <v>44</v>
      </c>
      <c r="D56" s="2">
        <v>8.0</v>
      </c>
      <c r="E56" s="2">
        <v>190.17</v>
      </c>
      <c r="F56" s="2">
        <v>1521.36</v>
      </c>
      <c r="G56" s="2" t="s">
        <v>14</v>
      </c>
      <c r="H56" s="2" t="s">
        <v>11</v>
      </c>
    </row>
    <row r="57">
      <c r="A57" s="1" t="s">
        <v>86</v>
      </c>
      <c r="B57" s="3">
        <v>46182.0</v>
      </c>
      <c r="C57" s="2" t="s">
        <v>64</v>
      </c>
      <c r="D57" s="2">
        <v>7.0</v>
      </c>
      <c r="E57" s="2">
        <v>239.78</v>
      </c>
      <c r="F57" s="2">
        <v>1678.46</v>
      </c>
      <c r="G57" s="2" t="s">
        <v>23</v>
      </c>
      <c r="H57" s="2" t="s">
        <v>11</v>
      </c>
    </row>
    <row r="58">
      <c r="A58" s="1" t="s">
        <v>87</v>
      </c>
      <c r="B58" s="3">
        <v>46115.0</v>
      </c>
      <c r="C58" s="2" t="s">
        <v>39</v>
      </c>
      <c r="D58" s="2">
        <v>8.0</v>
      </c>
      <c r="E58" s="2">
        <v>14.0</v>
      </c>
      <c r="F58" s="2">
        <v>112.0</v>
      </c>
      <c r="G58" s="2" t="s">
        <v>26</v>
      </c>
      <c r="H58" s="2" t="s">
        <v>40</v>
      </c>
    </row>
    <row r="59">
      <c r="A59" s="1" t="s">
        <v>88</v>
      </c>
      <c r="B59" s="3">
        <v>46193.0</v>
      </c>
      <c r="C59" s="2" t="s">
        <v>39</v>
      </c>
      <c r="D59" s="2">
        <v>2.0</v>
      </c>
      <c r="E59" s="2">
        <v>191.22</v>
      </c>
      <c r="F59" s="2">
        <v>382.44</v>
      </c>
      <c r="G59" s="2" t="s">
        <v>23</v>
      </c>
      <c r="H59" s="2" t="s">
        <v>29</v>
      </c>
    </row>
    <row r="60">
      <c r="A60" s="1" t="s">
        <v>89</v>
      </c>
      <c r="B60" s="3">
        <v>46184.0</v>
      </c>
      <c r="C60" s="2" t="s">
        <v>19</v>
      </c>
      <c r="D60" s="2">
        <v>2.0</v>
      </c>
      <c r="E60" s="2">
        <v>183.47</v>
      </c>
      <c r="F60" s="2">
        <v>366.94</v>
      </c>
      <c r="G60" s="2" t="s">
        <v>26</v>
      </c>
      <c r="H60" s="2" t="s">
        <v>29</v>
      </c>
    </row>
    <row r="61">
      <c r="A61" s="1" t="s">
        <v>90</v>
      </c>
      <c r="B61" s="3">
        <v>46185.0</v>
      </c>
      <c r="C61" s="2" t="s">
        <v>64</v>
      </c>
      <c r="D61" s="2">
        <v>2.0</v>
      </c>
      <c r="E61" s="2">
        <v>36.29</v>
      </c>
      <c r="F61" s="2">
        <v>72.58</v>
      </c>
      <c r="G61" s="2" t="s">
        <v>14</v>
      </c>
      <c r="H61" s="2" t="s">
        <v>36</v>
      </c>
    </row>
    <row r="62">
      <c r="A62" s="1" t="s">
        <v>91</v>
      </c>
      <c r="B62" s="3">
        <v>46139.0</v>
      </c>
      <c r="C62" s="2" t="s">
        <v>28</v>
      </c>
      <c r="D62" s="2">
        <v>7.0</v>
      </c>
      <c r="E62" s="2">
        <v>208.15</v>
      </c>
      <c r="F62" s="2">
        <v>1457.05</v>
      </c>
      <c r="G62" s="2" t="s">
        <v>10</v>
      </c>
      <c r="H62" s="2" t="s">
        <v>29</v>
      </c>
    </row>
    <row r="63">
      <c r="A63" s="1" t="s">
        <v>92</v>
      </c>
      <c r="B63" s="3">
        <v>46032.0</v>
      </c>
      <c r="C63" s="2" t="s">
        <v>33</v>
      </c>
      <c r="D63" s="2">
        <v>5.0</v>
      </c>
      <c r="E63" s="2">
        <v>103.77</v>
      </c>
      <c r="F63" s="2">
        <v>518.85</v>
      </c>
      <c r="G63" s="2" t="s">
        <v>20</v>
      </c>
      <c r="H63" s="2" t="s">
        <v>17</v>
      </c>
    </row>
    <row r="64">
      <c r="A64" s="1" t="s">
        <v>93</v>
      </c>
      <c r="B64" s="3">
        <v>46113.0</v>
      </c>
      <c r="C64" s="2" t="s">
        <v>28</v>
      </c>
      <c r="D64" s="2">
        <v>7.0</v>
      </c>
      <c r="E64" s="2">
        <v>229.06</v>
      </c>
      <c r="F64" s="2">
        <v>1603.42</v>
      </c>
      <c r="G64" s="2" t="s">
        <v>20</v>
      </c>
      <c r="H64" s="2" t="s">
        <v>17</v>
      </c>
    </row>
    <row r="65">
      <c r="A65" s="1" t="s">
        <v>94</v>
      </c>
      <c r="B65" s="3">
        <v>46183.0</v>
      </c>
      <c r="C65" s="2" t="s">
        <v>44</v>
      </c>
      <c r="D65" s="2">
        <v>6.0</v>
      </c>
      <c r="E65" s="2">
        <v>132.61</v>
      </c>
      <c r="F65" s="2">
        <v>795.66</v>
      </c>
      <c r="G65" s="2" t="s">
        <v>14</v>
      </c>
      <c r="H65" s="2" t="s">
        <v>36</v>
      </c>
    </row>
    <row r="66">
      <c r="A66" s="1" t="s">
        <v>95</v>
      </c>
      <c r="B66" s="3">
        <v>46196.0</v>
      </c>
      <c r="C66" s="2" t="s">
        <v>39</v>
      </c>
      <c r="D66" s="2">
        <v>7.0</v>
      </c>
      <c r="E66" s="2">
        <v>213.29</v>
      </c>
      <c r="F66" s="2">
        <v>1493.03</v>
      </c>
      <c r="G66" s="2" t="s">
        <v>23</v>
      </c>
      <c r="H66" s="2" t="s">
        <v>21</v>
      </c>
    </row>
    <row r="67">
      <c r="A67" s="1" t="s">
        <v>96</v>
      </c>
      <c r="B67" s="3">
        <v>46169.0</v>
      </c>
      <c r="C67" s="2" t="s">
        <v>35</v>
      </c>
      <c r="D67" s="2">
        <v>4.0</v>
      </c>
      <c r="E67" s="2">
        <v>105.37</v>
      </c>
      <c r="F67" s="2">
        <v>421.48</v>
      </c>
      <c r="G67" s="2" t="s">
        <v>14</v>
      </c>
      <c r="H67" s="2" t="s">
        <v>40</v>
      </c>
    </row>
    <row r="68">
      <c r="A68" s="1" t="s">
        <v>97</v>
      </c>
      <c r="B68" s="3">
        <v>46071.0</v>
      </c>
      <c r="C68" s="2" t="s">
        <v>31</v>
      </c>
      <c r="D68" s="2">
        <v>1.0</v>
      </c>
      <c r="E68" s="2">
        <v>55.16</v>
      </c>
      <c r="F68" s="2">
        <v>55.16</v>
      </c>
      <c r="G68" s="2" t="s">
        <v>26</v>
      </c>
      <c r="H68" s="2" t="s">
        <v>40</v>
      </c>
    </row>
    <row r="69">
      <c r="A69" s="1" t="s">
        <v>98</v>
      </c>
      <c r="B69" s="3">
        <v>46098.0</v>
      </c>
      <c r="C69" s="2" t="s">
        <v>31</v>
      </c>
      <c r="D69" s="2">
        <v>8.0</v>
      </c>
      <c r="E69" s="2">
        <v>150.91</v>
      </c>
      <c r="F69" s="2">
        <v>1207.28</v>
      </c>
      <c r="G69" s="2" t="s">
        <v>10</v>
      </c>
      <c r="H69" s="2" t="s">
        <v>36</v>
      </c>
    </row>
    <row r="70">
      <c r="A70" s="1" t="s">
        <v>99</v>
      </c>
      <c r="B70" s="3">
        <v>46137.0</v>
      </c>
      <c r="C70" s="2" t="s">
        <v>44</v>
      </c>
      <c r="D70" s="2">
        <v>8.0</v>
      </c>
      <c r="E70" s="2">
        <v>55.16</v>
      </c>
      <c r="F70" s="2">
        <v>441.28</v>
      </c>
      <c r="G70" s="2" t="s">
        <v>10</v>
      </c>
      <c r="H70" s="2" t="s">
        <v>17</v>
      </c>
    </row>
    <row r="71">
      <c r="A71" s="1" t="s">
        <v>100</v>
      </c>
      <c r="B71" s="3">
        <v>46147.0</v>
      </c>
      <c r="C71" s="2" t="s">
        <v>33</v>
      </c>
      <c r="D71" s="2">
        <v>8.0</v>
      </c>
      <c r="E71" s="2">
        <v>114.94</v>
      </c>
      <c r="F71" s="2">
        <v>919.52</v>
      </c>
      <c r="G71" s="2" t="s">
        <v>26</v>
      </c>
      <c r="H71" s="2" t="s">
        <v>29</v>
      </c>
    </row>
    <row r="72">
      <c r="A72" s="1" t="s">
        <v>101</v>
      </c>
      <c r="B72" s="3">
        <v>46043.0</v>
      </c>
      <c r="C72" s="2" t="s">
        <v>44</v>
      </c>
      <c r="D72" s="2">
        <v>7.0</v>
      </c>
      <c r="E72" s="2">
        <v>123.53</v>
      </c>
      <c r="F72" s="2">
        <v>864.71</v>
      </c>
      <c r="G72" s="2" t="s">
        <v>20</v>
      </c>
      <c r="H72" s="2" t="s">
        <v>36</v>
      </c>
    </row>
    <row r="73">
      <c r="A73" s="1" t="s">
        <v>102</v>
      </c>
      <c r="B73" s="3">
        <v>46133.0</v>
      </c>
      <c r="C73" s="2" t="s">
        <v>9</v>
      </c>
      <c r="D73" s="2">
        <v>6.0</v>
      </c>
      <c r="E73" s="2">
        <v>106.03</v>
      </c>
      <c r="F73" s="2">
        <v>636.18</v>
      </c>
      <c r="G73" s="2" t="s">
        <v>10</v>
      </c>
      <c r="H73" s="2" t="s">
        <v>29</v>
      </c>
    </row>
    <row r="74">
      <c r="A74" s="1" t="s">
        <v>103</v>
      </c>
      <c r="B74" s="3">
        <v>46069.0</v>
      </c>
      <c r="C74" s="2" t="s">
        <v>39</v>
      </c>
      <c r="D74" s="2">
        <v>8.0</v>
      </c>
      <c r="E74" s="2">
        <v>179.22</v>
      </c>
      <c r="F74" s="2">
        <v>1433.76</v>
      </c>
      <c r="G74" s="2" t="s">
        <v>23</v>
      </c>
      <c r="H74" s="2" t="s">
        <v>29</v>
      </c>
    </row>
    <row r="75">
      <c r="A75" s="1" t="s">
        <v>104</v>
      </c>
      <c r="B75" s="3">
        <v>46133.0</v>
      </c>
      <c r="C75" s="2" t="s">
        <v>33</v>
      </c>
      <c r="D75" s="2">
        <v>7.0</v>
      </c>
      <c r="E75" s="2">
        <v>162.66</v>
      </c>
      <c r="F75" s="2">
        <v>1138.62</v>
      </c>
      <c r="G75" s="2" t="s">
        <v>10</v>
      </c>
      <c r="H75" s="2" t="s">
        <v>40</v>
      </c>
    </row>
    <row r="76">
      <c r="A76" s="1" t="s">
        <v>105</v>
      </c>
      <c r="B76" s="3">
        <v>46144.0</v>
      </c>
      <c r="C76" s="2" t="s">
        <v>35</v>
      </c>
      <c r="D76" s="2">
        <v>5.0</v>
      </c>
      <c r="E76" s="2">
        <v>207.98</v>
      </c>
      <c r="F76" s="2">
        <v>1039.9</v>
      </c>
      <c r="G76" s="2" t="s">
        <v>26</v>
      </c>
      <c r="H76" s="2" t="s">
        <v>11</v>
      </c>
    </row>
    <row r="77">
      <c r="A77" s="1" t="s">
        <v>106</v>
      </c>
      <c r="B77" s="3">
        <v>46160.0</v>
      </c>
      <c r="C77" s="2" t="s">
        <v>64</v>
      </c>
      <c r="D77" s="2">
        <v>7.0</v>
      </c>
      <c r="E77" s="2">
        <v>123.91</v>
      </c>
      <c r="F77" s="2">
        <v>867.37</v>
      </c>
      <c r="G77" s="2" t="s">
        <v>10</v>
      </c>
      <c r="H77" s="2" t="s">
        <v>11</v>
      </c>
    </row>
    <row r="78">
      <c r="A78" s="1" t="s">
        <v>107</v>
      </c>
      <c r="B78" s="3">
        <v>46158.0</v>
      </c>
      <c r="C78" s="2" t="s">
        <v>19</v>
      </c>
      <c r="D78" s="2">
        <v>4.0</v>
      </c>
      <c r="E78" s="2">
        <v>134.83</v>
      </c>
      <c r="F78" s="2">
        <v>539.32</v>
      </c>
      <c r="G78" s="2" t="s">
        <v>23</v>
      </c>
      <c r="H78" s="2" t="s">
        <v>29</v>
      </c>
    </row>
    <row r="79">
      <c r="A79" s="1" t="s">
        <v>108</v>
      </c>
      <c r="B79" s="3">
        <v>46163.0</v>
      </c>
      <c r="C79" s="2" t="s">
        <v>31</v>
      </c>
      <c r="D79" s="2">
        <v>6.0</v>
      </c>
      <c r="E79" s="2">
        <v>80.19</v>
      </c>
      <c r="F79" s="2">
        <v>481.14</v>
      </c>
      <c r="G79" s="2" t="s">
        <v>10</v>
      </c>
      <c r="H79" s="2" t="s">
        <v>21</v>
      </c>
    </row>
    <row r="80">
      <c r="A80" s="1" t="s">
        <v>109</v>
      </c>
      <c r="B80" s="3">
        <v>46116.0</v>
      </c>
      <c r="C80" s="2" t="s">
        <v>16</v>
      </c>
      <c r="D80" s="2">
        <v>6.0</v>
      </c>
      <c r="E80" s="2">
        <v>45.83</v>
      </c>
      <c r="F80" s="2">
        <v>274.98</v>
      </c>
      <c r="G80" s="2" t="s">
        <v>10</v>
      </c>
      <c r="H80" s="2" t="s">
        <v>21</v>
      </c>
    </row>
    <row r="81">
      <c r="A81" s="1" t="s">
        <v>110</v>
      </c>
      <c r="B81" s="3">
        <v>46093.0</v>
      </c>
      <c r="C81" s="2" t="s">
        <v>28</v>
      </c>
      <c r="D81" s="2">
        <v>7.0</v>
      </c>
      <c r="E81" s="2">
        <v>97.22</v>
      </c>
      <c r="F81" s="2">
        <v>680.54</v>
      </c>
      <c r="G81" s="2" t="s">
        <v>26</v>
      </c>
      <c r="H81" s="2" t="s">
        <v>40</v>
      </c>
    </row>
    <row r="82">
      <c r="A82" s="1" t="s">
        <v>111</v>
      </c>
      <c r="B82" s="3">
        <v>46100.0</v>
      </c>
      <c r="C82" s="2" t="s">
        <v>35</v>
      </c>
      <c r="D82" s="2">
        <v>7.0</v>
      </c>
      <c r="E82" s="2">
        <v>145.34</v>
      </c>
      <c r="F82" s="2">
        <v>1017.38</v>
      </c>
      <c r="G82" s="2" t="s">
        <v>14</v>
      </c>
      <c r="H82" s="2" t="s">
        <v>40</v>
      </c>
    </row>
    <row r="83">
      <c r="A83" s="1" t="s">
        <v>112</v>
      </c>
      <c r="B83" s="3">
        <v>46045.0</v>
      </c>
      <c r="C83" s="2" t="s">
        <v>13</v>
      </c>
      <c r="D83" s="2">
        <v>1.0</v>
      </c>
      <c r="E83" s="2">
        <v>78.43</v>
      </c>
      <c r="F83" s="2">
        <v>78.43</v>
      </c>
      <c r="G83" s="2" t="s">
        <v>20</v>
      </c>
      <c r="H83" s="2" t="s">
        <v>17</v>
      </c>
    </row>
    <row r="84">
      <c r="A84" s="1" t="s">
        <v>113</v>
      </c>
      <c r="B84" s="3">
        <v>46075.0</v>
      </c>
      <c r="C84" s="2" t="s">
        <v>35</v>
      </c>
      <c r="D84" s="2">
        <v>4.0</v>
      </c>
      <c r="E84" s="2">
        <v>24.31</v>
      </c>
      <c r="F84" s="2">
        <v>97.24</v>
      </c>
      <c r="G84" s="2" t="s">
        <v>14</v>
      </c>
      <c r="H84" s="2" t="s">
        <v>36</v>
      </c>
    </row>
    <row r="85">
      <c r="A85" s="1" t="s">
        <v>114</v>
      </c>
      <c r="B85" s="3">
        <v>46173.0</v>
      </c>
      <c r="C85" s="2" t="s">
        <v>25</v>
      </c>
      <c r="D85" s="2">
        <v>3.0</v>
      </c>
      <c r="E85" s="2">
        <v>110.73</v>
      </c>
      <c r="F85" s="2">
        <v>332.19</v>
      </c>
      <c r="G85" s="2" t="s">
        <v>26</v>
      </c>
      <c r="H85" s="2" t="s">
        <v>11</v>
      </c>
    </row>
    <row r="86">
      <c r="A86" s="1" t="s">
        <v>115</v>
      </c>
      <c r="B86" s="3">
        <v>46102.0</v>
      </c>
      <c r="C86" s="2" t="s">
        <v>44</v>
      </c>
      <c r="D86" s="2">
        <v>1.0</v>
      </c>
      <c r="E86" s="2">
        <v>211.31</v>
      </c>
      <c r="F86" s="2">
        <v>211.31</v>
      </c>
      <c r="G86" s="2" t="s">
        <v>23</v>
      </c>
      <c r="H86" s="2" t="s">
        <v>40</v>
      </c>
    </row>
    <row r="87">
      <c r="A87" s="1" t="s">
        <v>116</v>
      </c>
      <c r="B87" s="3">
        <v>46025.0</v>
      </c>
      <c r="C87" s="2" t="s">
        <v>19</v>
      </c>
      <c r="D87" s="2">
        <v>6.0</v>
      </c>
      <c r="E87" s="2">
        <v>129.28</v>
      </c>
      <c r="F87" s="2">
        <v>775.68</v>
      </c>
      <c r="G87" s="2" t="s">
        <v>14</v>
      </c>
      <c r="H87" s="2" t="s">
        <v>17</v>
      </c>
    </row>
    <row r="88">
      <c r="A88" s="1" t="s">
        <v>117</v>
      </c>
      <c r="B88" s="3">
        <v>46154.0</v>
      </c>
      <c r="C88" s="2" t="s">
        <v>19</v>
      </c>
      <c r="D88" s="2">
        <v>6.0</v>
      </c>
      <c r="E88" s="2">
        <v>119.41</v>
      </c>
      <c r="F88" s="2">
        <v>716.46</v>
      </c>
      <c r="G88" s="2" t="s">
        <v>20</v>
      </c>
      <c r="H88" s="2" t="s">
        <v>40</v>
      </c>
    </row>
    <row r="89">
      <c r="A89" s="1" t="s">
        <v>118</v>
      </c>
      <c r="B89" s="3">
        <v>46088.0</v>
      </c>
      <c r="C89" s="2" t="s">
        <v>28</v>
      </c>
      <c r="D89" s="2">
        <v>5.0</v>
      </c>
      <c r="E89" s="2">
        <v>247.06</v>
      </c>
      <c r="F89" s="2">
        <v>1235.3</v>
      </c>
      <c r="G89" s="2" t="s">
        <v>23</v>
      </c>
      <c r="H89" s="2" t="s">
        <v>29</v>
      </c>
    </row>
    <row r="90">
      <c r="A90" s="1" t="s">
        <v>119</v>
      </c>
      <c r="B90" s="3">
        <v>46199.0</v>
      </c>
      <c r="C90" s="2" t="s">
        <v>44</v>
      </c>
      <c r="D90" s="2">
        <v>8.0</v>
      </c>
      <c r="E90" s="2">
        <v>70.14</v>
      </c>
      <c r="F90" s="2">
        <v>561.12</v>
      </c>
      <c r="G90" s="2" t="s">
        <v>14</v>
      </c>
      <c r="H90" s="2" t="s">
        <v>17</v>
      </c>
    </row>
    <row r="91">
      <c r="A91" s="1" t="s">
        <v>120</v>
      </c>
      <c r="B91" s="3">
        <v>46058.0</v>
      </c>
      <c r="C91" s="2" t="s">
        <v>33</v>
      </c>
      <c r="D91" s="2">
        <v>8.0</v>
      </c>
      <c r="E91" s="2">
        <v>190.32</v>
      </c>
      <c r="F91" s="2">
        <v>1522.56</v>
      </c>
      <c r="G91" s="2" t="s">
        <v>26</v>
      </c>
      <c r="H91" s="2" t="s">
        <v>29</v>
      </c>
    </row>
    <row r="92">
      <c r="A92" s="1" t="s">
        <v>121</v>
      </c>
      <c r="B92" s="3">
        <v>46138.0</v>
      </c>
      <c r="C92" s="2" t="s">
        <v>33</v>
      </c>
      <c r="D92" s="2">
        <v>2.0</v>
      </c>
      <c r="E92" s="2">
        <v>47.23</v>
      </c>
      <c r="F92" s="2">
        <v>94.46</v>
      </c>
      <c r="G92" s="2" t="s">
        <v>23</v>
      </c>
      <c r="H92" s="2" t="s">
        <v>11</v>
      </c>
    </row>
    <row r="93">
      <c r="A93" s="1" t="s">
        <v>122</v>
      </c>
      <c r="B93" s="3">
        <v>46142.0</v>
      </c>
      <c r="C93" s="2" t="s">
        <v>39</v>
      </c>
      <c r="D93" s="2">
        <v>2.0</v>
      </c>
      <c r="E93" s="2">
        <v>129.16</v>
      </c>
      <c r="F93" s="2">
        <v>258.32</v>
      </c>
      <c r="G93" s="2" t="s">
        <v>20</v>
      </c>
      <c r="H93" s="2" t="s">
        <v>11</v>
      </c>
    </row>
    <row r="94">
      <c r="A94" s="1" t="s">
        <v>123</v>
      </c>
      <c r="B94" s="3">
        <v>46105.0</v>
      </c>
      <c r="C94" s="2" t="s">
        <v>39</v>
      </c>
      <c r="D94" s="2">
        <v>4.0</v>
      </c>
      <c r="E94" s="2">
        <v>204.21</v>
      </c>
      <c r="F94" s="2">
        <v>816.84</v>
      </c>
      <c r="G94" s="2" t="s">
        <v>10</v>
      </c>
      <c r="H94" s="2" t="s">
        <v>36</v>
      </c>
    </row>
    <row r="95">
      <c r="A95" s="1" t="s">
        <v>124</v>
      </c>
      <c r="B95" s="3">
        <v>46096.0</v>
      </c>
      <c r="C95" s="2" t="s">
        <v>31</v>
      </c>
      <c r="D95" s="2">
        <v>7.0</v>
      </c>
      <c r="E95" s="2">
        <v>101.14</v>
      </c>
      <c r="F95" s="2">
        <v>707.98</v>
      </c>
      <c r="G95" s="2" t="s">
        <v>23</v>
      </c>
      <c r="H95" s="2" t="s">
        <v>17</v>
      </c>
    </row>
    <row r="96">
      <c r="A96" s="1" t="s">
        <v>125</v>
      </c>
      <c r="B96" s="3">
        <v>46185.0</v>
      </c>
      <c r="C96" s="2" t="s">
        <v>19</v>
      </c>
      <c r="D96" s="2">
        <v>4.0</v>
      </c>
      <c r="E96" s="2">
        <v>87.02</v>
      </c>
      <c r="F96" s="2">
        <v>348.08</v>
      </c>
      <c r="G96" s="2" t="s">
        <v>26</v>
      </c>
      <c r="H96" s="2" t="s">
        <v>29</v>
      </c>
    </row>
    <row r="97">
      <c r="A97" s="1" t="s">
        <v>126</v>
      </c>
      <c r="B97" s="3">
        <v>46036.0</v>
      </c>
      <c r="C97" s="2" t="s">
        <v>13</v>
      </c>
      <c r="D97" s="2">
        <v>3.0</v>
      </c>
      <c r="E97" s="2">
        <v>95.05</v>
      </c>
      <c r="F97" s="2">
        <v>285.15</v>
      </c>
      <c r="G97" s="2" t="s">
        <v>10</v>
      </c>
      <c r="H97" s="2" t="s">
        <v>21</v>
      </c>
    </row>
    <row r="98">
      <c r="A98" s="1" t="s">
        <v>127</v>
      </c>
      <c r="B98" s="3">
        <v>46028.0</v>
      </c>
      <c r="C98" s="2" t="s">
        <v>19</v>
      </c>
      <c r="D98" s="2">
        <v>2.0</v>
      </c>
      <c r="E98" s="2">
        <v>157.18</v>
      </c>
      <c r="F98" s="2">
        <v>314.36</v>
      </c>
      <c r="G98" s="2" t="s">
        <v>20</v>
      </c>
      <c r="H98" s="2" t="s">
        <v>11</v>
      </c>
    </row>
    <row r="99">
      <c r="A99" s="1" t="s">
        <v>128</v>
      </c>
      <c r="B99" s="3">
        <v>46184.0</v>
      </c>
      <c r="C99" s="2" t="s">
        <v>9</v>
      </c>
      <c r="D99" s="2">
        <v>7.0</v>
      </c>
      <c r="E99" s="2">
        <v>200.15</v>
      </c>
      <c r="F99" s="2">
        <v>1401.05</v>
      </c>
      <c r="G99" s="2" t="s">
        <v>14</v>
      </c>
      <c r="H99" s="2" t="s">
        <v>21</v>
      </c>
    </row>
    <row r="100">
      <c r="A100" s="1" t="s">
        <v>129</v>
      </c>
      <c r="B100" s="3">
        <v>46121.0</v>
      </c>
      <c r="C100" s="2" t="s">
        <v>44</v>
      </c>
      <c r="D100" s="2">
        <v>8.0</v>
      </c>
      <c r="E100" s="2">
        <v>211.02</v>
      </c>
      <c r="F100" s="2">
        <v>1688.16</v>
      </c>
      <c r="G100" s="2" t="s">
        <v>14</v>
      </c>
      <c r="H100" s="2" t="s">
        <v>36</v>
      </c>
    </row>
    <row r="101">
      <c r="A101" s="1" t="s">
        <v>130</v>
      </c>
      <c r="B101" s="3">
        <v>46170.0</v>
      </c>
      <c r="C101" s="2" t="s">
        <v>25</v>
      </c>
      <c r="D101" s="2">
        <v>6.0</v>
      </c>
      <c r="E101" s="2">
        <v>95.39</v>
      </c>
      <c r="F101" s="2">
        <v>572.34</v>
      </c>
      <c r="G101" s="2" t="s">
        <v>10</v>
      </c>
      <c r="H101" s="2" t="s">
        <v>21</v>
      </c>
    </row>
    <row r="102">
      <c r="A102" s="1" t="s">
        <v>131</v>
      </c>
      <c r="B102" s="3">
        <v>46120.0</v>
      </c>
      <c r="C102" s="2" t="s">
        <v>64</v>
      </c>
      <c r="D102" s="2">
        <v>3.0</v>
      </c>
      <c r="E102" s="2">
        <v>174.42</v>
      </c>
      <c r="F102" s="2">
        <v>523.26</v>
      </c>
      <c r="G102" s="2" t="s">
        <v>20</v>
      </c>
      <c r="H102" s="2" t="s">
        <v>36</v>
      </c>
    </row>
    <row r="103">
      <c r="A103" s="1" t="s">
        <v>132</v>
      </c>
      <c r="B103" s="3">
        <v>46151.0</v>
      </c>
      <c r="C103" s="2" t="s">
        <v>28</v>
      </c>
      <c r="D103" s="2">
        <v>3.0</v>
      </c>
      <c r="E103" s="2">
        <v>20.42</v>
      </c>
      <c r="F103" s="2">
        <v>61.26</v>
      </c>
      <c r="G103" s="2" t="s">
        <v>10</v>
      </c>
      <c r="H103" s="2" t="s">
        <v>36</v>
      </c>
    </row>
    <row r="104">
      <c r="A104" s="1" t="s">
        <v>133</v>
      </c>
      <c r="B104" s="3">
        <v>46114.0</v>
      </c>
      <c r="C104" s="2" t="s">
        <v>31</v>
      </c>
      <c r="D104" s="2">
        <v>2.0</v>
      </c>
      <c r="E104" s="2">
        <v>147.5</v>
      </c>
      <c r="F104" s="2">
        <v>295.0</v>
      </c>
      <c r="G104" s="2" t="s">
        <v>10</v>
      </c>
      <c r="H104" s="2" t="s">
        <v>40</v>
      </c>
    </row>
    <row r="105">
      <c r="A105" s="1" t="s">
        <v>134</v>
      </c>
      <c r="B105" s="3">
        <v>46070.0</v>
      </c>
      <c r="C105" s="2" t="s">
        <v>64</v>
      </c>
      <c r="D105" s="2">
        <v>5.0</v>
      </c>
      <c r="E105" s="2">
        <v>145.81</v>
      </c>
      <c r="F105" s="2">
        <v>729.05</v>
      </c>
      <c r="G105" s="2" t="s">
        <v>10</v>
      </c>
      <c r="H105" s="2" t="s">
        <v>40</v>
      </c>
    </row>
    <row r="106">
      <c r="A106" s="1" t="s">
        <v>135</v>
      </c>
      <c r="B106" s="3">
        <v>46058.0</v>
      </c>
      <c r="C106" s="2" t="s">
        <v>33</v>
      </c>
      <c r="D106" s="2">
        <v>8.0</v>
      </c>
      <c r="E106" s="2">
        <v>199.7</v>
      </c>
      <c r="F106" s="2">
        <v>1597.6</v>
      </c>
      <c r="G106" s="2" t="s">
        <v>14</v>
      </c>
      <c r="H106" s="2" t="s">
        <v>17</v>
      </c>
    </row>
    <row r="107">
      <c r="A107" s="1" t="s">
        <v>136</v>
      </c>
      <c r="B107" s="3">
        <v>46197.0</v>
      </c>
      <c r="C107" s="2" t="s">
        <v>9</v>
      </c>
      <c r="D107" s="2">
        <v>1.0</v>
      </c>
      <c r="E107" s="2">
        <v>136.09</v>
      </c>
      <c r="F107" s="2">
        <v>136.09</v>
      </c>
      <c r="G107" s="2" t="s">
        <v>10</v>
      </c>
      <c r="H107" s="2" t="s">
        <v>17</v>
      </c>
    </row>
    <row r="108">
      <c r="A108" s="1" t="s">
        <v>137</v>
      </c>
      <c r="B108" s="3">
        <v>46198.0</v>
      </c>
      <c r="C108" s="2" t="s">
        <v>33</v>
      </c>
      <c r="D108" s="2">
        <v>5.0</v>
      </c>
      <c r="E108" s="2">
        <v>199.37</v>
      </c>
      <c r="F108" s="2">
        <v>996.85</v>
      </c>
      <c r="G108" s="2" t="s">
        <v>26</v>
      </c>
      <c r="H108" s="2" t="s">
        <v>17</v>
      </c>
    </row>
    <row r="109">
      <c r="A109" s="1" t="s">
        <v>138</v>
      </c>
      <c r="B109" s="3">
        <v>46112.0</v>
      </c>
      <c r="C109" s="2" t="s">
        <v>35</v>
      </c>
      <c r="D109" s="2">
        <v>5.0</v>
      </c>
      <c r="E109" s="2">
        <v>21.33</v>
      </c>
      <c r="F109" s="2">
        <v>106.65</v>
      </c>
      <c r="G109" s="2" t="s">
        <v>26</v>
      </c>
      <c r="H109" s="2" t="s">
        <v>11</v>
      </c>
    </row>
    <row r="110">
      <c r="A110" s="1" t="s">
        <v>139</v>
      </c>
      <c r="B110" s="3">
        <v>46123.0</v>
      </c>
      <c r="C110" s="2" t="s">
        <v>9</v>
      </c>
      <c r="D110" s="2">
        <v>5.0</v>
      </c>
      <c r="E110" s="2">
        <v>92.38</v>
      </c>
      <c r="F110" s="2">
        <v>461.9</v>
      </c>
      <c r="G110" s="2" t="s">
        <v>14</v>
      </c>
      <c r="H110" s="2" t="s">
        <v>36</v>
      </c>
    </row>
    <row r="111">
      <c r="A111" s="1" t="s">
        <v>140</v>
      </c>
      <c r="B111" s="3">
        <v>46066.0</v>
      </c>
      <c r="C111" s="2" t="s">
        <v>9</v>
      </c>
      <c r="D111" s="2">
        <v>2.0</v>
      </c>
      <c r="E111" s="2">
        <v>82.19</v>
      </c>
      <c r="F111" s="2">
        <v>164.38</v>
      </c>
      <c r="G111" s="2" t="s">
        <v>10</v>
      </c>
      <c r="H111" s="2" t="s">
        <v>40</v>
      </c>
    </row>
    <row r="112">
      <c r="A112" s="1" t="s">
        <v>141</v>
      </c>
      <c r="B112" s="3">
        <v>46200.0</v>
      </c>
      <c r="C112" s="2" t="s">
        <v>19</v>
      </c>
      <c r="D112" s="2">
        <v>5.0</v>
      </c>
      <c r="E112" s="2">
        <v>164.71</v>
      </c>
      <c r="F112" s="2">
        <v>823.55</v>
      </c>
      <c r="G112" s="2" t="s">
        <v>14</v>
      </c>
      <c r="H112" s="2" t="s">
        <v>40</v>
      </c>
    </row>
    <row r="113">
      <c r="A113" s="1" t="s">
        <v>142</v>
      </c>
      <c r="B113" s="3">
        <v>46066.0</v>
      </c>
      <c r="C113" s="2" t="s">
        <v>19</v>
      </c>
      <c r="D113" s="2">
        <v>3.0</v>
      </c>
      <c r="E113" s="2">
        <v>16.97</v>
      </c>
      <c r="F113" s="2">
        <v>50.91</v>
      </c>
      <c r="G113" s="2" t="s">
        <v>23</v>
      </c>
      <c r="H113" s="2" t="s">
        <v>11</v>
      </c>
    </row>
    <row r="114">
      <c r="A114" s="1" t="s">
        <v>143</v>
      </c>
      <c r="B114" s="3">
        <v>46110.0</v>
      </c>
      <c r="C114" s="2" t="s">
        <v>28</v>
      </c>
      <c r="D114" s="2">
        <v>5.0</v>
      </c>
      <c r="E114" s="2">
        <v>116.14</v>
      </c>
      <c r="F114" s="2">
        <v>580.7</v>
      </c>
      <c r="G114" s="2" t="s">
        <v>23</v>
      </c>
      <c r="H114" s="2" t="s">
        <v>29</v>
      </c>
    </row>
    <row r="115">
      <c r="A115" s="1" t="s">
        <v>144</v>
      </c>
      <c r="B115" s="3">
        <v>46070.0</v>
      </c>
      <c r="C115" s="2" t="s">
        <v>39</v>
      </c>
      <c r="D115" s="2">
        <v>8.0</v>
      </c>
      <c r="E115" s="2">
        <v>101.26</v>
      </c>
      <c r="F115" s="2">
        <v>810.08</v>
      </c>
      <c r="G115" s="2" t="s">
        <v>26</v>
      </c>
      <c r="H115" s="2" t="s">
        <v>36</v>
      </c>
    </row>
    <row r="116">
      <c r="A116" s="1" t="s">
        <v>145</v>
      </c>
      <c r="B116" s="3">
        <v>46106.0</v>
      </c>
      <c r="C116" s="2" t="s">
        <v>28</v>
      </c>
      <c r="D116" s="2">
        <v>3.0</v>
      </c>
      <c r="E116" s="2">
        <v>106.98</v>
      </c>
      <c r="F116" s="2">
        <v>320.94</v>
      </c>
      <c r="G116" s="2" t="s">
        <v>10</v>
      </c>
      <c r="H116" s="2" t="s">
        <v>11</v>
      </c>
    </row>
    <row r="117">
      <c r="A117" s="1" t="s">
        <v>146</v>
      </c>
      <c r="B117" s="3">
        <v>46180.0</v>
      </c>
      <c r="C117" s="2" t="s">
        <v>25</v>
      </c>
      <c r="D117" s="2">
        <v>6.0</v>
      </c>
      <c r="E117" s="2">
        <v>217.82</v>
      </c>
      <c r="F117" s="2">
        <v>1306.92</v>
      </c>
      <c r="G117" s="2" t="s">
        <v>10</v>
      </c>
      <c r="H117" s="2" t="s">
        <v>40</v>
      </c>
    </row>
    <row r="118">
      <c r="A118" s="1" t="s">
        <v>147</v>
      </c>
      <c r="B118" s="3">
        <v>46115.0</v>
      </c>
      <c r="C118" s="2" t="s">
        <v>13</v>
      </c>
      <c r="D118" s="2">
        <v>4.0</v>
      </c>
      <c r="E118" s="2">
        <v>82.75</v>
      </c>
      <c r="F118" s="2">
        <v>331.0</v>
      </c>
      <c r="G118" s="2" t="s">
        <v>26</v>
      </c>
      <c r="H118" s="2" t="s">
        <v>21</v>
      </c>
    </row>
    <row r="119">
      <c r="A119" s="1" t="s">
        <v>148</v>
      </c>
      <c r="B119" s="3">
        <v>46201.0</v>
      </c>
      <c r="C119" s="2" t="s">
        <v>16</v>
      </c>
      <c r="D119" s="2">
        <v>2.0</v>
      </c>
      <c r="E119" s="2">
        <v>63.53</v>
      </c>
      <c r="F119" s="2">
        <v>127.06</v>
      </c>
      <c r="G119" s="2" t="s">
        <v>10</v>
      </c>
      <c r="H119" s="2" t="s">
        <v>36</v>
      </c>
    </row>
    <row r="120">
      <c r="A120" s="1" t="s">
        <v>149</v>
      </c>
      <c r="B120" s="3">
        <v>46153.0</v>
      </c>
      <c r="C120" s="2" t="s">
        <v>28</v>
      </c>
      <c r="D120" s="2">
        <v>5.0</v>
      </c>
      <c r="E120" s="2">
        <v>133.98</v>
      </c>
      <c r="F120" s="2">
        <v>669.9</v>
      </c>
      <c r="G120" s="2" t="s">
        <v>20</v>
      </c>
      <c r="H120" s="2" t="s">
        <v>17</v>
      </c>
    </row>
    <row r="121">
      <c r="A121" s="1" t="s">
        <v>150</v>
      </c>
      <c r="B121" s="3">
        <v>46150.0</v>
      </c>
      <c r="C121" s="2" t="s">
        <v>44</v>
      </c>
      <c r="D121" s="2">
        <v>2.0</v>
      </c>
      <c r="E121" s="2">
        <v>40.29</v>
      </c>
      <c r="F121" s="2">
        <v>80.58</v>
      </c>
      <c r="G121" s="2" t="s">
        <v>23</v>
      </c>
      <c r="H121" s="2" t="s">
        <v>40</v>
      </c>
    </row>
    <row r="122">
      <c r="A122" s="1" t="s">
        <v>151</v>
      </c>
      <c r="B122" s="3">
        <v>46105.0</v>
      </c>
      <c r="C122" s="2" t="s">
        <v>35</v>
      </c>
      <c r="D122" s="2">
        <v>5.0</v>
      </c>
      <c r="E122" s="2">
        <v>67.68</v>
      </c>
      <c r="F122" s="2">
        <v>338.4</v>
      </c>
      <c r="G122" s="2" t="s">
        <v>23</v>
      </c>
      <c r="H122" s="2" t="s">
        <v>21</v>
      </c>
    </row>
    <row r="123">
      <c r="A123" s="1" t="s">
        <v>152</v>
      </c>
      <c r="B123" s="3">
        <v>46046.0</v>
      </c>
      <c r="C123" s="2" t="s">
        <v>25</v>
      </c>
      <c r="D123" s="2">
        <v>4.0</v>
      </c>
      <c r="E123" s="2">
        <v>155.01</v>
      </c>
      <c r="F123" s="2">
        <v>620.04</v>
      </c>
      <c r="G123" s="2" t="s">
        <v>23</v>
      </c>
      <c r="H123" s="2" t="s">
        <v>29</v>
      </c>
    </row>
    <row r="124">
      <c r="A124" s="1" t="s">
        <v>153</v>
      </c>
      <c r="B124" s="3">
        <v>46181.0</v>
      </c>
      <c r="C124" s="2" t="s">
        <v>19</v>
      </c>
      <c r="D124" s="2">
        <v>7.0</v>
      </c>
      <c r="E124" s="2">
        <v>164.92</v>
      </c>
      <c r="F124" s="2">
        <v>1154.44</v>
      </c>
      <c r="G124" s="2" t="s">
        <v>20</v>
      </c>
      <c r="H124" s="2" t="s">
        <v>11</v>
      </c>
    </row>
    <row r="125">
      <c r="A125" s="1" t="s">
        <v>154</v>
      </c>
      <c r="B125" s="3">
        <v>46030.0</v>
      </c>
      <c r="C125" s="2" t="s">
        <v>16</v>
      </c>
      <c r="D125" s="2">
        <v>4.0</v>
      </c>
      <c r="E125" s="2">
        <v>73.54</v>
      </c>
      <c r="F125" s="2">
        <v>294.16</v>
      </c>
      <c r="G125" s="2" t="s">
        <v>26</v>
      </c>
      <c r="H125" s="2" t="s">
        <v>40</v>
      </c>
    </row>
    <row r="126">
      <c r="A126" s="1" t="s">
        <v>155</v>
      </c>
      <c r="B126" s="3">
        <v>46061.0</v>
      </c>
      <c r="C126" s="2" t="s">
        <v>33</v>
      </c>
      <c r="D126" s="2">
        <v>6.0</v>
      </c>
      <c r="E126" s="2">
        <v>64.57</v>
      </c>
      <c r="F126" s="2">
        <v>387.42</v>
      </c>
      <c r="G126" s="2" t="s">
        <v>26</v>
      </c>
      <c r="H126" s="2" t="s">
        <v>17</v>
      </c>
    </row>
    <row r="127">
      <c r="A127" s="1" t="s">
        <v>156</v>
      </c>
      <c r="B127" s="3">
        <v>46078.0</v>
      </c>
      <c r="C127" s="2" t="s">
        <v>33</v>
      </c>
      <c r="D127" s="2">
        <v>6.0</v>
      </c>
      <c r="E127" s="2">
        <v>100.31</v>
      </c>
      <c r="F127" s="2">
        <v>601.86</v>
      </c>
      <c r="G127" s="2" t="s">
        <v>23</v>
      </c>
      <c r="H127" s="2" t="s">
        <v>40</v>
      </c>
    </row>
    <row r="128">
      <c r="A128" s="1" t="s">
        <v>157</v>
      </c>
      <c r="B128" s="3">
        <v>46036.0</v>
      </c>
      <c r="C128" s="2" t="s">
        <v>44</v>
      </c>
      <c r="D128" s="2">
        <v>2.0</v>
      </c>
      <c r="E128" s="2">
        <v>101.62</v>
      </c>
      <c r="F128" s="2">
        <v>203.24</v>
      </c>
      <c r="G128" s="2" t="s">
        <v>20</v>
      </c>
      <c r="H128" s="2" t="s">
        <v>36</v>
      </c>
    </row>
    <row r="129">
      <c r="A129" s="1" t="s">
        <v>158</v>
      </c>
      <c r="B129" s="3">
        <v>46046.0</v>
      </c>
      <c r="C129" s="2" t="s">
        <v>19</v>
      </c>
      <c r="D129" s="2">
        <v>1.0</v>
      </c>
      <c r="E129" s="2">
        <v>218.28</v>
      </c>
      <c r="F129" s="2">
        <v>218.28</v>
      </c>
      <c r="G129" s="2" t="s">
        <v>20</v>
      </c>
      <c r="H129" s="2" t="s">
        <v>36</v>
      </c>
    </row>
    <row r="130">
      <c r="A130" s="1" t="s">
        <v>159</v>
      </c>
      <c r="B130" s="3">
        <v>46144.0</v>
      </c>
      <c r="C130" s="2" t="s">
        <v>64</v>
      </c>
      <c r="D130" s="2">
        <v>7.0</v>
      </c>
      <c r="E130" s="2">
        <v>136.89</v>
      </c>
      <c r="F130" s="2">
        <v>958.23</v>
      </c>
      <c r="G130" s="2" t="s">
        <v>26</v>
      </c>
      <c r="H130" s="2" t="s">
        <v>21</v>
      </c>
    </row>
    <row r="131">
      <c r="A131" s="1" t="s">
        <v>160</v>
      </c>
      <c r="B131" s="3">
        <v>46161.0</v>
      </c>
      <c r="C131" s="2" t="s">
        <v>44</v>
      </c>
      <c r="D131" s="2">
        <v>7.0</v>
      </c>
      <c r="E131" s="2">
        <v>222.09</v>
      </c>
      <c r="F131" s="2">
        <v>1554.63</v>
      </c>
      <c r="G131" s="2" t="s">
        <v>20</v>
      </c>
      <c r="H131" s="2" t="s">
        <v>36</v>
      </c>
    </row>
    <row r="132">
      <c r="A132" s="1" t="s">
        <v>161</v>
      </c>
      <c r="B132" s="3">
        <v>46188.0</v>
      </c>
      <c r="C132" s="2" t="s">
        <v>9</v>
      </c>
      <c r="D132" s="2">
        <v>8.0</v>
      </c>
      <c r="E132" s="2">
        <v>216.34</v>
      </c>
      <c r="F132" s="2">
        <v>1730.72</v>
      </c>
      <c r="G132" s="2" t="s">
        <v>14</v>
      </c>
      <c r="H132" s="2" t="s">
        <v>21</v>
      </c>
    </row>
    <row r="133">
      <c r="A133" s="1" t="s">
        <v>162</v>
      </c>
      <c r="B133" s="3">
        <v>46155.0</v>
      </c>
      <c r="C133" s="2" t="s">
        <v>35</v>
      </c>
      <c r="D133" s="2">
        <v>8.0</v>
      </c>
      <c r="E133" s="2">
        <v>101.86</v>
      </c>
      <c r="F133" s="2">
        <v>814.88</v>
      </c>
      <c r="G133" s="2" t="s">
        <v>23</v>
      </c>
      <c r="H133" s="2" t="s">
        <v>11</v>
      </c>
    </row>
    <row r="134">
      <c r="A134" s="1" t="s">
        <v>163</v>
      </c>
      <c r="B134" s="3">
        <v>46061.0</v>
      </c>
      <c r="C134" s="2" t="s">
        <v>64</v>
      </c>
      <c r="D134" s="2">
        <v>4.0</v>
      </c>
      <c r="E134" s="2">
        <v>76.08</v>
      </c>
      <c r="F134" s="2">
        <v>304.32</v>
      </c>
      <c r="G134" s="2" t="s">
        <v>20</v>
      </c>
      <c r="H134" s="2" t="s">
        <v>21</v>
      </c>
    </row>
    <row r="135">
      <c r="A135" s="1" t="s">
        <v>164</v>
      </c>
      <c r="B135" s="3">
        <v>46157.0</v>
      </c>
      <c r="C135" s="2" t="s">
        <v>19</v>
      </c>
      <c r="D135" s="2">
        <v>4.0</v>
      </c>
      <c r="E135" s="2">
        <v>86.42</v>
      </c>
      <c r="F135" s="2">
        <v>345.68</v>
      </c>
      <c r="G135" s="2" t="s">
        <v>10</v>
      </c>
      <c r="H135" s="2" t="s">
        <v>29</v>
      </c>
    </row>
    <row r="136">
      <c r="A136" s="1" t="s">
        <v>165</v>
      </c>
      <c r="B136" s="3">
        <v>46160.0</v>
      </c>
      <c r="C136" s="2" t="s">
        <v>13</v>
      </c>
      <c r="D136" s="2">
        <v>4.0</v>
      </c>
      <c r="E136" s="2">
        <v>173.35</v>
      </c>
      <c r="F136" s="2">
        <v>693.4</v>
      </c>
      <c r="G136" s="2" t="s">
        <v>14</v>
      </c>
      <c r="H136" s="2" t="s">
        <v>36</v>
      </c>
    </row>
    <row r="137">
      <c r="A137" s="1" t="s">
        <v>166</v>
      </c>
      <c r="B137" s="3">
        <v>46197.0</v>
      </c>
      <c r="C137" s="2" t="s">
        <v>31</v>
      </c>
      <c r="D137" s="2">
        <v>1.0</v>
      </c>
      <c r="E137" s="2">
        <v>162.11</v>
      </c>
      <c r="F137" s="2">
        <v>162.11</v>
      </c>
      <c r="G137" s="2" t="s">
        <v>26</v>
      </c>
      <c r="H137" s="2" t="s">
        <v>17</v>
      </c>
    </row>
    <row r="138">
      <c r="A138" s="1" t="s">
        <v>167</v>
      </c>
      <c r="B138" s="3">
        <v>46184.0</v>
      </c>
      <c r="C138" s="2" t="s">
        <v>35</v>
      </c>
      <c r="D138" s="2">
        <v>5.0</v>
      </c>
      <c r="E138" s="2">
        <v>153.15</v>
      </c>
      <c r="F138" s="2">
        <v>765.75</v>
      </c>
      <c r="G138" s="2" t="s">
        <v>14</v>
      </c>
      <c r="H138" s="2" t="s">
        <v>36</v>
      </c>
    </row>
    <row r="139">
      <c r="A139" s="1" t="s">
        <v>168</v>
      </c>
      <c r="B139" s="3">
        <v>46170.0</v>
      </c>
      <c r="C139" s="2" t="s">
        <v>39</v>
      </c>
      <c r="D139" s="2">
        <v>2.0</v>
      </c>
      <c r="E139" s="2">
        <v>155.6</v>
      </c>
      <c r="F139" s="2">
        <v>311.2</v>
      </c>
      <c r="G139" s="2" t="s">
        <v>23</v>
      </c>
      <c r="H139" s="2" t="s">
        <v>11</v>
      </c>
    </row>
    <row r="140">
      <c r="A140" s="1" t="s">
        <v>169</v>
      </c>
      <c r="B140" s="3">
        <v>46169.0</v>
      </c>
      <c r="C140" s="2" t="s">
        <v>16</v>
      </c>
      <c r="D140" s="2">
        <v>6.0</v>
      </c>
      <c r="E140" s="2">
        <v>16.7</v>
      </c>
      <c r="F140" s="2">
        <v>100.2</v>
      </c>
      <c r="G140" s="2" t="s">
        <v>14</v>
      </c>
      <c r="H140" s="2" t="s">
        <v>11</v>
      </c>
    </row>
    <row r="141">
      <c r="A141" s="1" t="s">
        <v>170</v>
      </c>
      <c r="B141" s="3">
        <v>46025.0</v>
      </c>
      <c r="C141" s="2" t="s">
        <v>35</v>
      </c>
      <c r="D141" s="2">
        <v>6.0</v>
      </c>
      <c r="E141" s="2">
        <v>19.1</v>
      </c>
      <c r="F141" s="2">
        <v>114.6</v>
      </c>
      <c r="G141" s="2" t="s">
        <v>10</v>
      </c>
      <c r="H141" s="2" t="s">
        <v>36</v>
      </c>
    </row>
    <row r="142">
      <c r="A142" s="1" t="s">
        <v>171</v>
      </c>
      <c r="B142" s="3">
        <v>46105.0</v>
      </c>
      <c r="C142" s="2" t="s">
        <v>9</v>
      </c>
      <c r="D142" s="2">
        <v>7.0</v>
      </c>
      <c r="E142" s="2">
        <v>72.07</v>
      </c>
      <c r="F142" s="2">
        <v>504.49</v>
      </c>
      <c r="G142" s="2" t="s">
        <v>14</v>
      </c>
      <c r="H142" s="2" t="s">
        <v>29</v>
      </c>
    </row>
    <row r="143">
      <c r="A143" s="1" t="s">
        <v>172</v>
      </c>
      <c r="B143" s="3">
        <v>46132.0</v>
      </c>
      <c r="C143" s="2" t="s">
        <v>35</v>
      </c>
      <c r="D143" s="2">
        <v>1.0</v>
      </c>
      <c r="E143" s="2">
        <v>124.59</v>
      </c>
      <c r="F143" s="2">
        <v>124.59</v>
      </c>
      <c r="G143" s="2" t="s">
        <v>20</v>
      </c>
      <c r="H143" s="2" t="s">
        <v>17</v>
      </c>
    </row>
    <row r="144">
      <c r="A144" s="1" t="s">
        <v>173</v>
      </c>
      <c r="B144" s="3">
        <v>46134.0</v>
      </c>
      <c r="C144" s="2" t="s">
        <v>28</v>
      </c>
      <c r="D144" s="2">
        <v>4.0</v>
      </c>
      <c r="E144" s="2">
        <v>156.06</v>
      </c>
      <c r="F144" s="2">
        <v>624.24</v>
      </c>
      <c r="G144" s="2" t="s">
        <v>23</v>
      </c>
      <c r="H144" s="2" t="s">
        <v>21</v>
      </c>
    </row>
    <row r="145">
      <c r="A145" s="1" t="s">
        <v>174</v>
      </c>
      <c r="B145" s="3">
        <v>46181.0</v>
      </c>
      <c r="C145" s="2" t="s">
        <v>16</v>
      </c>
      <c r="D145" s="2">
        <v>7.0</v>
      </c>
      <c r="E145" s="2">
        <v>209.76</v>
      </c>
      <c r="F145" s="2">
        <v>1468.32</v>
      </c>
      <c r="G145" s="2" t="s">
        <v>23</v>
      </c>
      <c r="H145" s="2" t="s">
        <v>17</v>
      </c>
    </row>
    <row r="146">
      <c r="A146" s="1" t="s">
        <v>175</v>
      </c>
      <c r="B146" s="3">
        <v>46183.0</v>
      </c>
      <c r="C146" s="2" t="s">
        <v>19</v>
      </c>
      <c r="D146" s="2">
        <v>4.0</v>
      </c>
      <c r="E146" s="2">
        <v>156.38</v>
      </c>
      <c r="F146" s="2">
        <v>625.52</v>
      </c>
      <c r="G146" s="2" t="s">
        <v>14</v>
      </c>
      <c r="H146" s="2" t="s">
        <v>40</v>
      </c>
    </row>
    <row r="147">
      <c r="A147" s="1" t="s">
        <v>176</v>
      </c>
      <c r="B147" s="3">
        <v>46070.0</v>
      </c>
      <c r="C147" s="2" t="s">
        <v>35</v>
      </c>
      <c r="D147" s="2">
        <v>1.0</v>
      </c>
      <c r="E147" s="2">
        <v>160.51</v>
      </c>
      <c r="F147" s="2">
        <v>160.51</v>
      </c>
      <c r="G147" s="2" t="s">
        <v>10</v>
      </c>
      <c r="H147" s="2" t="s">
        <v>11</v>
      </c>
    </row>
    <row r="148">
      <c r="A148" s="1" t="s">
        <v>177</v>
      </c>
      <c r="B148" s="3">
        <v>46030.0</v>
      </c>
      <c r="C148" s="2" t="s">
        <v>19</v>
      </c>
      <c r="D148" s="2">
        <v>5.0</v>
      </c>
      <c r="E148" s="2">
        <v>97.85</v>
      </c>
      <c r="F148" s="2">
        <v>489.25</v>
      </c>
      <c r="G148" s="2" t="s">
        <v>26</v>
      </c>
      <c r="H148" s="2" t="s">
        <v>11</v>
      </c>
    </row>
    <row r="149">
      <c r="A149" s="1" t="s">
        <v>178</v>
      </c>
      <c r="B149" s="3">
        <v>46182.0</v>
      </c>
      <c r="C149" s="2" t="s">
        <v>31</v>
      </c>
      <c r="D149" s="2">
        <v>7.0</v>
      </c>
      <c r="E149" s="2">
        <v>154.63</v>
      </c>
      <c r="F149" s="2">
        <v>1082.41</v>
      </c>
      <c r="G149" s="2" t="s">
        <v>14</v>
      </c>
      <c r="H149" s="2" t="s">
        <v>36</v>
      </c>
    </row>
    <row r="150">
      <c r="A150" s="1" t="s">
        <v>179</v>
      </c>
      <c r="B150" s="3">
        <v>46177.0</v>
      </c>
      <c r="C150" s="2" t="s">
        <v>31</v>
      </c>
      <c r="D150" s="2">
        <v>3.0</v>
      </c>
      <c r="E150" s="2">
        <v>151.96</v>
      </c>
      <c r="F150" s="2">
        <v>455.88</v>
      </c>
      <c r="G150" s="2" t="s">
        <v>20</v>
      </c>
      <c r="H150" s="2" t="s">
        <v>11</v>
      </c>
    </row>
    <row r="151">
      <c r="A151" s="1" t="s">
        <v>180</v>
      </c>
      <c r="B151" s="3">
        <v>46139.0</v>
      </c>
      <c r="C151" s="2" t="s">
        <v>64</v>
      </c>
      <c r="D151" s="2">
        <v>4.0</v>
      </c>
      <c r="E151" s="2">
        <v>150.59</v>
      </c>
      <c r="F151" s="2">
        <v>602.36</v>
      </c>
      <c r="G151" s="2" t="s">
        <v>23</v>
      </c>
      <c r="H151" s="2" t="s">
        <v>21</v>
      </c>
    </row>
    <row r="152">
      <c r="A152" s="1" t="s">
        <v>181</v>
      </c>
      <c r="B152" s="3">
        <v>46106.0</v>
      </c>
      <c r="C152" s="2" t="s">
        <v>28</v>
      </c>
      <c r="D152" s="2">
        <v>3.0</v>
      </c>
      <c r="E152" s="2">
        <v>52.27</v>
      </c>
      <c r="F152" s="2">
        <v>156.81</v>
      </c>
      <c r="G152" s="2" t="s">
        <v>20</v>
      </c>
      <c r="H152" s="2" t="s">
        <v>17</v>
      </c>
    </row>
    <row r="153">
      <c r="A153" s="1" t="s">
        <v>182</v>
      </c>
      <c r="B153" s="3">
        <v>46125.0</v>
      </c>
      <c r="C153" s="2" t="s">
        <v>33</v>
      </c>
      <c r="D153" s="2">
        <v>1.0</v>
      </c>
      <c r="E153" s="2">
        <v>48.08</v>
      </c>
      <c r="F153" s="2">
        <v>48.08</v>
      </c>
      <c r="G153" s="2" t="s">
        <v>20</v>
      </c>
      <c r="H153" s="2" t="s">
        <v>40</v>
      </c>
    </row>
    <row r="154">
      <c r="A154" s="1" t="s">
        <v>183</v>
      </c>
      <c r="B154" s="3">
        <v>46099.0</v>
      </c>
      <c r="C154" s="2" t="s">
        <v>19</v>
      </c>
      <c r="D154" s="2">
        <v>7.0</v>
      </c>
      <c r="E154" s="2">
        <v>125.23</v>
      </c>
      <c r="F154" s="2">
        <v>876.61</v>
      </c>
      <c r="G154" s="2" t="s">
        <v>14</v>
      </c>
      <c r="H154" s="2" t="s">
        <v>21</v>
      </c>
    </row>
    <row r="155">
      <c r="A155" s="1" t="s">
        <v>184</v>
      </c>
      <c r="B155" s="3">
        <v>46060.0</v>
      </c>
      <c r="C155" s="2" t="s">
        <v>35</v>
      </c>
      <c r="D155" s="2">
        <v>2.0</v>
      </c>
      <c r="E155" s="2">
        <v>76.06</v>
      </c>
      <c r="F155" s="2">
        <v>152.12</v>
      </c>
      <c r="G155" s="2" t="s">
        <v>26</v>
      </c>
      <c r="H155" s="2" t="s">
        <v>21</v>
      </c>
    </row>
    <row r="156">
      <c r="A156" s="1" t="s">
        <v>185</v>
      </c>
      <c r="B156" s="3">
        <v>46102.0</v>
      </c>
      <c r="C156" s="2" t="s">
        <v>28</v>
      </c>
      <c r="D156" s="2">
        <v>5.0</v>
      </c>
      <c r="E156" s="2">
        <v>177.09</v>
      </c>
      <c r="F156" s="2">
        <v>885.45</v>
      </c>
      <c r="G156" s="2" t="s">
        <v>10</v>
      </c>
      <c r="H156" s="2" t="s">
        <v>29</v>
      </c>
    </row>
    <row r="157">
      <c r="A157" s="1" t="s">
        <v>186</v>
      </c>
      <c r="B157" s="3">
        <v>46104.0</v>
      </c>
      <c r="C157" s="2" t="s">
        <v>16</v>
      </c>
      <c r="D157" s="2">
        <v>2.0</v>
      </c>
      <c r="E157" s="2">
        <v>81.39</v>
      </c>
      <c r="F157" s="2">
        <v>162.78</v>
      </c>
      <c r="G157" s="2" t="s">
        <v>10</v>
      </c>
      <c r="H157" s="2" t="s">
        <v>17</v>
      </c>
    </row>
    <row r="158">
      <c r="A158" s="1" t="s">
        <v>187</v>
      </c>
      <c r="B158" s="3">
        <v>46196.0</v>
      </c>
      <c r="C158" s="2" t="s">
        <v>33</v>
      </c>
      <c r="D158" s="2">
        <v>8.0</v>
      </c>
      <c r="E158" s="2">
        <v>186.75</v>
      </c>
      <c r="F158" s="2">
        <v>1494.0</v>
      </c>
      <c r="G158" s="2" t="s">
        <v>26</v>
      </c>
      <c r="H158" s="2" t="s">
        <v>11</v>
      </c>
    </row>
    <row r="159">
      <c r="A159" s="1" t="s">
        <v>188</v>
      </c>
      <c r="B159" s="3">
        <v>46046.0</v>
      </c>
      <c r="C159" s="2" t="s">
        <v>13</v>
      </c>
      <c r="D159" s="2">
        <v>5.0</v>
      </c>
      <c r="E159" s="2">
        <v>105.75</v>
      </c>
      <c r="F159" s="2">
        <v>528.75</v>
      </c>
      <c r="G159" s="2" t="s">
        <v>14</v>
      </c>
      <c r="H159" s="2" t="s">
        <v>11</v>
      </c>
    </row>
    <row r="160">
      <c r="A160" s="1" t="s">
        <v>189</v>
      </c>
      <c r="B160" s="3">
        <v>46093.0</v>
      </c>
      <c r="C160" s="2" t="s">
        <v>28</v>
      </c>
      <c r="D160" s="2">
        <v>1.0</v>
      </c>
      <c r="E160" s="2">
        <v>166.85</v>
      </c>
      <c r="F160" s="2">
        <v>166.85</v>
      </c>
      <c r="G160" s="2" t="s">
        <v>20</v>
      </c>
      <c r="H160" s="2" t="s">
        <v>29</v>
      </c>
    </row>
    <row r="161">
      <c r="A161" s="1" t="s">
        <v>190</v>
      </c>
      <c r="B161" s="3">
        <v>46045.0</v>
      </c>
      <c r="C161" s="2" t="s">
        <v>35</v>
      </c>
      <c r="D161" s="2">
        <v>4.0</v>
      </c>
      <c r="E161" s="2">
        <v>84.28</v>
      </c>
      <c r="F161" s="2">
        <v>337.12</v>
      </c>
      <c r="G161" s="2" t="s">
        <v>26</v>
      </c>
      <c r="H161" s="2" t="s">
        <v>36</v>
      </c>
    </row>
    <row r="162">
      <c r="A162" s="1" t="s">
        <v>191</v>
      </c>
      <c r="B162" s="3">
        <v>46144.0</v>
      </c>
      <c r="C162" s="2" t="s">
        <v>25</v>
      </c>
      <c r="D162" s="2">
        <v>6.0</v>
      </c>
      <c r="E162" s="2">
        <v>131.34</v>
      </c>
      <c r="F162" s="2">
        <v>788.04</v>
      </c>
      <c r="G162" s="2" t="s">
        <v>14</v>
      </c>
      <c r="H162" s="2" t="s">
        <v>36</v>
      </c>
    </row>
    <row r="163">
      <c r="A163" s="1" t="s">
        <v>192</v>
      </c>
      <c r="B163" s="3">
        <v>46194.0</v>
      </c>
      <c r="C163" s="2" t="s">
        <v>35</v>
      </c>
      <c r="D163" s="2">
        <v>5.0</v>
      </c>
      <c r="E163" s="2">
        <v>162.14</v>
      </c>
      <c r="F163" s="2">
        <v>810.7</v>
      </c>
      <c r="G163" s="2" t="s">
        <v>26</v>
      </c>
      <c r="H163" s="2" t="s">
        <v>21</v>
      </c>
    </row>
    <row r="164">
      <c r="A164" s="1" t="s">
        <v>193</v>
      </c>
      <c r="B164" s="3">
        <v>46104.0</v>
      </c>
      <c r="C164" s="2" t="s">
        <v>39</v>
      </c>
      <c r="D164" s="2">
        <v>3.0</v>
      </c>
      <c r="E164" s="2">
        <v>202.78</v>
      </c>
      <c r="F164" s="2">
        <v>608.34</v>
      </c>
      <c r="G164" s="2" t="s">
        <v>26</v>
      </c>
      <c r="H164" s="2" t="s">
        <v>11</v>
      </c>
    </row>
    <row r="165">
      <c r="A165" s="1" t="s">
        <v>194</v>
      </c>
      <c r="B165" s="3">
        <v>46126.0</v>
      </c>
      <c r="C165" s="2" t="s">
        <v>13</v>
      </c>
      <c r="D165" s="2">
        <v>4.0</v>
      </c>
      <c r="E165" s="2">
        <v>15.58</v>
      </c>
      <c r="F165" s="2">
        <v>62.32</v>
      </c>
      <c r="G165" s="2" t="s">
        <v>20</v>
      </c>
      <c r="H165" s="2" t="s">
        <v>29</v>
      </c>
    </row>
    <row r="166">
      <c r="A166" s="1" t="s">
        <v>195</v>
      </c>
      <c r="B166" s="3">
        <v>46027.0</v>
      </c>
      <c r="C166" s="2" t="s">
        <v>44</v>
      </c>
      <c r="D166" s="2">
        <v>4.0</v>
      </c>
      <c r="E166" s="2">
        <v>80.59</v>
      </c>
      <c r="F166" s="2">
        <v>322.36</v>
      </c>
      <c r="G166" s="2" t="s">
        <v>10</v>
      </c>
      <c r="H166" s="2" t="s">
        <v>40</v>
      </c>
    </row>
    <row r="167">
      <c r="A167" s="1" t="s">
        <v>196</v>
      </c>
      <c r="B167" s="3">
        <v>46184.0</v>
      </c>
      <c r="C167" s="2" t="s">
        <v>64</v>
      </c>
      <c r="D167" s="2">
        <v>8.0</v>
      </c>
      <c r="E167" s="2">
        <v>82.73</v>
      </c>
      <c r="F167" s="2">
        <v>661.84</v>
      </c>
      <c r="G167" s="2" t="s">
        <v>26</v>
      </c>
      <c r="H167" s="2" t="s">
        <v>40</v>
      </c>
    </row>
    <row r="168">
      <c r="A168" s="1" t="s">
        <v>197</v>
      </c>
      <c r="B168" s="3">
        <v>46163.0</v>
      </c>
      <c r="C168" s="2" t="s">
        <v>19</v>
      </c>
      <c r="D168" s="2">
        <v>4.0</v>
      </c>
      <c r="E168" s="2">
        <v>20.57</v>
      </c>
      <c r="F168" s="2">
        <v>82.28</v>
      </c>
      <c r="G168" s="2" t="s">
        <v>26</v>
      </c>
      <c r="H168" s="2" t="s">
        <v>40</v>
      </c>
    </row>
    <row r="169">
      <c r="A169" s="1" t="s">
        <v>198</v>
      </c>
      <c r="B169" s="3">
        <v>46038.0</v>
      </c>
      <c r="C169" s="2" t="s">
        <v>64</v>
      </c>
      <c r="D169" s="2">
        <v>5.0</v>
      </c>
      <c r="E169" s="2">
        <v>26.98</v>
      </c>
      <c r="F169" s="2">
        <v>134.9</v>
      </c>
      <c r="G169" s="2" t="s">
        <v>23</v>
      </c>
      <c r="H169" s="2" t="s">
        <v>11</v>
      </c>
    </row>
    <row r="170">
      <c r="A170" s="1" t="s">
        <v>199</v>
      </c>
      <c r="B170" s="3">
        <v>46046.0</v>
      </c>
      <c r="C170" s="2" t="s">
        <v>19</v>
      </c>
      <c r="D170" s="2">
        <v>7.0</v>
      </c>
      <c r="E170" s="2">
        <v>216.51</v>
      </c>
      <c r="F170" s="2">
        <v>1515.57</v>
      </c>
      <c r="G170" s="2" t="s">
        <v>10</v>
      </c>
      <c r="H170" s="2" t="s">
        <v>29</v>
      </c>
    </row>
    <row r="171">
      <c r="A171" s="1" t="s">
        <v>200</v>
      </c>
      <c r="B171" s="3">
        <v>46148.0</v>
      </c>
      <c r="C171" s="2" t="s">
        <v>16</v>
      </c>
      <c r="D171" s="2">
        <v>6.0</v>
      </c>
      <c r="E171" s="2">
        <v>119.56</v>
      </c>
      <c r="F171" s="2">
        <v>717.36</v>
      </c>
      <c r="G171" s="2" t="s">
        <v>23</v>
      </c>
      <c r="H171" s="2" t="s">
        <v>17</v>
      </c>
    </row>
    <row r="172">
      <c r="A172" s="1" t="s">
        <v>201</v>
      </c>
      <c r="B172" s="3">
        <v>46102.0</v>
      </c>
      <c r="C172" s="2" t="s">
        <v>33</v>
      </c>
      <c r="D172" s="2">
        <v>6.0</v>
      </c>
      <c r="E172" s="2">
        <v>67.73</v>
      </c>
      <c r="F172" s="2">
        <v>406.38</v>
      </c>
      <c r="G172" s="2" t="s">
        <v>26</v>
      </c>
      <c r="H172" s="2" t="s">
        <v>40</v>
      </c>
    </row>
    <row r="173">
      <c r="A173" s="1" t="s">
        <v>202</v>
      </c>
      <c r="B173" s="3">
        <v>46193.0</v>
      </c>
      <c r="C173" s="2" t="s">
        <v>31</v>
      </c>
      <c r="D173" s="2">
        <v>3.0</v>
      </c>
      <c r="E173" s="2">
        <v>88.69</v>
      </c>
      <c r="F173" s="2">
        <v>266.07</v>
      </c>
      <c r="G173" s="2" t="s">
        <v>26</v>
      </c>
      <c r="H173" s="2" t="s">
        <v>36</v>
      </c>
    </row>
    <row r="174">
      <c r="A174" s="1" t="s">
        <v>203</v>
      </c>
      <c r="B174" s="3">
        <v>46162.0</v>
      </c>
      <c r="C174" s="2" t="s">
        <v>31</v>
      </c>
      <c r="D174" s="2">
        <v>7.0</v>
      </c>
      <c r="E174" s="2">
        <v>17.85</v>
      </c>
      <c r="F174" s="2">
        <v>124.95</v>
      </c>
      <c r="G174" s="2" t="s">
        <v>26</v>
      </c>
      <c r="H174" s="2" t="s">
        <v>17</v>
      </c>
    </row>
    <row r="175">
      <c r="A175" s="1" t="s">
        <v>204</v>
      </c>
      <c r="B175" s="3">
        <v>46149.0</v>
      </c>
      <c r="C175" s="2" t="s">
        <v>19</v>
      </c>
      <c r="D175" s="2">
        <v>2.0</v>
      </c>
      <c r="E175" s="2">
        <v>100.99</v>
      </c>
      <c r="F175" s="2">
        <v>201.98</v>
      </c>
      <c r="G175" s="2" t="s">
        <v>26</v>
      </c>
      <c r="H175" s="2" t="s">
        <v>36</v>
      </c>
    </row>
    <row r="176">
      <c r="A176" s="1" t="s">
        <v>205</v>
      </c>
      <c r="B176" s="3">
        <v>46187.0</v>
      </c>
      <c r="C176" s="2" t="s">
        <v>9</v>
      </c>
      <c r="D176" s="2">
        <v>1.0</v>
      </c>
      <c r="E176" s="2">
        <v>111.2</v>
      </c>
      <c r="F176" s="2">
        <v>111.2</v>
      </c>
      <c r="G176" s="2" t="s">
        <v>23</v>
      </c>
      <c r="H176" s="2" t="s">
        <v>29</v>
      </c>
    </row>
    <row r="177">
      <c r="A177" s="1" t="s">
        <v>206</v>
      </c>
      <c r="B177" s="3">
        <v>46084.0</v>
      </c>
      <c r="C177" s="2" t="s">
        <v>64</v>
      </c>
      <c r="D177" s="2">
        <v>2.0</v>
      </c>
      <c r="E177" s="2">
        <v>101.15</v>
      </c>
      <c r="F177" s="2">
        <v>202.3</v>
      </c>
      <c r="G177" s="2" t="s">
        <v>14</v>
      </c>
      <c r="H177" s="2" t="s">
        <v>17</v>
      </c>
    </row>
    <row r="178">
      <c r="A178" s="1" t="s">
        <v>207</v>
      </c>
      <c r="B178" s="3">
        <v>46182.0</v>
      </c>
      <c r="C178" s="2" t="s">
        <v>13</v>
      </c>
      <c r="D178" s="2">
        <v>6.0</v>
      </c>
      <c r="E178" s="2">
        <v>133.08</v>
      </c>
      <c r="F178" s="2">
        <v>798.48</v>
      </c>
      <c r="G178" s="2" t="s">
        <v>26</v>
      </c>
      <c r="H178" s="2" t="s">
        <v>36</v>
      </c>
    </row>
    <row r="179">
      <c r="A179" s="1" t="s">
        <v>208</v>
      </c>
      <c r="B179" s="3">
        <v>46079.0</v>
      </c>
      <c r="C179" s="2" t="s">
        <v>16</v>
      </c>
      <c r="D179" s="2">
        <v>1.0</v>
      </c>
      <c r="E179" s="2">
        <v>230.15</v>
      </c>
      <c r="F179" s="2">
        <v>230.15</v>
      </c>
      <c r="G179" s="2" t="s">
        <v>20</v>
      </c>
      <c r="H179" s="2" t="s">
        <v>21</v>
      </c>
    </row>
    <row r="180">
      <c r="A180" s="1" t="s">
        <v>209</v>
      </c>
      <c r="B180" s="3">
        <v>46075.0</v>
      </c>
      <c r="C180" s="2" t="s">
        <v>25</v>
      </c>
      <c r="D180" s="2">
        <v>6.0</v>
      </c>
      <c r="E180" s="2">
        <v>97.76</v>
      </c>
      <c r="F180" s="2">
        <v>586.56</v>
      </c>
      <c r="G180" s="2" t="s">
        <v>26</v>
      </c>
      <c r="H180" s="2" t="s">
        <v>21</v>
      </c>
    </row>
    <row r="181">
      <c r="A181" s="1" t="s">
        <v>210</v>
      </c>
      <c r="B181" s="3">
        <v>46156.0</v>
      </c>
      <c r="C181" s="2" t="s">
        <v>16</v>
      </c>
      <c r="D181" s="2">
        <v>3.0</v>
      </c>
      <c r="E181" s="2">
        <v>71.11</v>
      </c>
      <c r="F181" s="2">
        <v>213.33</v>
      </c>
      <c r="G181" s="2" t="s">
        <v>20</v>
      </c>
      <c r="H181" s="2" t="s">
        <v>11</v>
      </c>
    </row>
    <row r="182">
      <c r="A182" s="1" t="s">
        <v>211</v>
      </c>
      <c r="B182" s="3">
        <v>46195.0</v>
      </c>
      <c r="C182" s="2" t="s">
        <v>33</v>
      </c>
      <c r="D182" s="2">
        <v>3.0</v>
      </c>
      <c r="E182" s="2">
        <v>65.77</v>
      </c>
      <c r="F182" s="2">
        <v>197.31</v>
      </c>
      <c r="G182" s="2" t="s">
        <v>14</v>
      </c>
      <c r="H182" s="2" t="s">
        <v>36</v>
      </c>
    </row>
    <row r="183">
      <c r="A183" s="1" t="s">
        <v>212</v>
      </c>
      <c r="B183" s="3">
        <v>46196.0</v>
      </c>
      <c r="C183" s="2" t="s">
        <v>33</v>
      </c>
      <c r="D183" s="2">
        <v>1.0</v>
      </c>
      <c r="E183" s="2">
        <v>31.73</v>
      </c>
      <c r="F183" s="2">
        <v>31.73</v>
      </c>
      <c r="G183" s="2" t="s">
        <v>26</v>
      </c>
      <c r="H183" s="2" t="s">
        <v>21</v>
      </c>
    </row>
    <row r="184">
      <c r="A184" s="1" t="s">
        <v>213</v>
      </c>
      <c r="B184" s="3">
        <v>46096.0</v>
      </c>
      <c r="C184" s="2" t="s">
        <v>25</v>
      </c>
      <c r="D184" s="2">
        <v>8.0</v>
      </c>
      <c r="E184" s="2">
        <v>99.49</v>
      </c>
      <c r="F184" s="2">
        <v>795.92</v>
      </c>
      <c r="G184" s="2" t="s">
        <v>10</v>
      </c>
      <c r="H184" s="2" t="s">
        <v>11</v>
      </c>
    </row>
    <row r="185">
      <c r="A185" s="1" t="s">
        <v>214</v>
      </c>
      <c r="B185" s="3">
        <v>46189.0</v>
      </c>
      <c r="C185" s="2" t="s">
        <v>44</v>
      </c>
      <c r="D185" s="2">
        <v>2.0</v>
      </c>
      <c r="E185" s="2">
        <v>221.17</v>
      </c>
      <c r="F185" s="2">
        <v>442.34</v>
      </c>
      <c r="G185" s="2" t="s">
        <v>23</v>
      </c>
      <c r="H185" s="2" t="s">
        <v>29</v>
      </c>
    </row>
    <row r="186">
      <c r="A186" s="1" t="s">
        <v>215</v>
      </c>
      <c r="B186" s="3">
        <v>46119.0</v>
      </c>
      <c r="C186" s="2" t="s">
        <v>64</v>
      </c>
      <c r="D186" s="2">
        <v>2.0</v>
      </c>
      <c r="E186" s="2">
        <v>67.08</v>
      </c>
      <c r="F186" s="2">
        <v>134.16</v>
      </c>
      <c r="G186" s="2" t="s">
        <v>20</v>
      </c>
      <c r="H186" s="2" t="s">
        <v>11</v>
      </c>
    </row>
    <row r="187">
      <c r="A187" s="1" t="s">
        <v>216</v>
      </c>
      <c r="B187" s="3">
        <v>46057.0</v>
      </c>
      <c r="C187" s="2" t="s">
        <v>35</v>
      </c>
      <c r="D187" s="2">
        <v>6.0</v>
      </c>
      <c r="E187" s="2">
        <v>33.5</v>
      </c>
      <c r="F187" s="2">
        <v>201.0</v>
      </c>
      <c r="G187" s="2" t="s">
        <v>26</v>
      </c>
      <c r="H187" s="2" t="s">
        <v>29</v>
      </c>
    </row>
    <row r="188">
      <c r="A188" s="1" t="s">
        <v>217</v>
      </c>
      <c r="B188" s="3">
        <v>46092.0</v>
      </c>
      <c r="C188" s="2" t="s">
        <v>64</v>
      </c>
      <c r="D188" s="2">
        <v>5.0</v>
      </c>
      <c r="E188" s="2">
        <v>50.2</v>
      </c>
      <c r="F188" s="2">
        <v>251.0</v>
      </c>
      <c r="G188" s="2" t="s">
        <v>26</v>
      </c>
      <c r="H188" s="2" t="s">
        <v>40</v>
      </c>
    </row>
    <row r="189">
      <c r="A189" s="1" t="s">
        <v>218</v>
      </c>
      <c r="B189" s="3">
        <v>46101.0</v>
      </c>
      <c r="C189" s="2" t="s">
        <v>13</v>
      </c>
      <c r="D189" s="2">
        <v>6.0</v>
      </c>
      <c r="E189" s="2">
        <v>58.2</v>
      </c>
      <c r="F189" s="2">
        <v>349.2</v>
      </c>
      <c r="G189" s="2" t="s">
        <v>20</v>
      </c>
      <c r="H189" s="2" t="s">
        <v>17</v>
      </c>
    </row>
    <row r="190">
      <c r="A190" s="1" t="s">
        <v>219</v>
      </c>
      <c r="B190" s="3">
        <v>46121.0</v>
      </c>
      <c r="C190" s="2" t="s">
        <v>13</v>
      </c>
      <c r="D190" s="2">
        <v>8.0</v>
      </c>
      <c r="E190" s="2">
        <v>94.53</v>
      </c>
      <c r="F190" s="2">
        <v>756.24</v>
      </c>
      <c r="G190" s="2" t="s">
        <v>20</v>
      </c>
      <c r="H190" s="2" t="s">
        <v>36</v>
      </c>
    </row>
    <row r="191">
      <c r="A191" s="1" t="s">
        <v>220</v>
      </c>
      <c r="B191" s="3">
        <v>46130.0</v>
      </c>
      <c r="C191" s="2" t="s">
        <v>31</v>
      </c>
      <c r="D191" s="2">
        <v>1.0</v>
      </c>
      <c r="E191" s="2">
        <v>95.14</v>
      </c>
      <c r="F191" s="2">
        <v>95.14</v>
      </c>
      <c r="G191" s="2" t="s">
        <v>26</v>
      </c>
      <c r="H191" s="2" t="s">
        <v>17</v>
      </c>
    </row>
    <row r="192">
      <c r="A192" s="1" t="s">
        <v>221</v>
      </c>
      <c r="B192" s="3">
        <v>46156.0</v>
      </c>
      <c r="C192" s="2" t="s">
        <v>39</v>
      </c>
      <c r="D192" s="2">
        <v>4.0</v>
      </c>
      <c r="E192" s="2">
        <v>166.53</v>
      </c>
      <c r="F192" s="2">
        <v>666.12</v>
      </c>
      <c r="G192" s="2" t="s">
        <v>26</v>
      </c>
      <c r="H192" s="2" t="s">
        <v>36</v>
      </c>
    </row>
    <row r="193">
      <c r="A193" s="1" t="s">
        <v>222</v>
      </c>
      <c r="B193" s="3">
        <v>46116.0</v>
      </c>
      <c r="C193" s="2" t="s">
        <v>19</v>
      </c>
      <c r="D193" s="2">
        <v>7.0</v>
      </c>
      <c r="E193" s="2">
        <v>80.18</v>
      </c>
      <c r="F193" s="2">
        <v>561.26</v>
      </c>
      <c r="G193" s="2" t="s">
        <v>14</v>
      </c>
      <c r="H193" s="2" t="s">
        <v>21</v>
      </c>
    </row>
    <row r="194">
      <c r="A194" s="1" t="s">
        <v>223</v>
      </c>
      <c r="B194" s="3">
        <v>46084.0</v>
      </c>
      <c r="C194" s="2" t="s">
        <v>25</v>
      </c>
      <c r="D194" s="2">
        <v>4.0</v>
      </c>
      <c r="E194" s="2">
        <v>225.85</v>
      </c>
      <c r="F194" s="2">
        <v>903.4</v>
      </c>
      <c r="G194" s="2" t="s">
        <v>26</v>
      </c>
      <c r="H194" s="2" t="s">
        <v>17</v>
      </c>
    </row>
    <row r="195">
      <c r="A195" s="1" t="s">
        <v>224</v>
      </c>
      <c r="B195" s="3">
        <v>46112.0</v>
      </c>
      <c r="C195" s="2" t="s">
        <v>28</v>
      </c>
      <c r="D195" s="2">
        <v>4.0</v>
      </c>
      <c r="E195" s="2">
        <v>213.73</v>
      </c>
      <c r="F195" s="2">
        <v>854.92</v>
      </c>
      <c r="G195" s="2" t="s">
        <v>26</v>
      </c>
      <c r="H195" s="2" t="s">
        <v>21</v>
      </c>
    </row>
    <row r="196">
      <c r="A196" s="1" t="s">
        <v>225</v>
      </c>
      <c r="B196" s="3">
        <v>46024.0</v>
      </c>
      <c r="C196" s="2" t="s">
        <v>19</v>
      </c>
      <c r="D196" s="2">
        <v>6.0</v>
      </c>
      <c r="E196" s="2">
        <v>235.01</v>
      </c>
      <c r="F196" s="2">
        <v>1410.06</v>
      </c>
      <c r="G196" s="2" t="s">
        <v>10</v>
      </c>
      <c r="H196" s="2" t="s">
        <v>11</v>
      </c>
    </row>
    <row r="197">
      <c r="A197" s="1" t="s">
        <v>226</v>
      </c>
      <c r="B197" s="3">
        <v>46048.0</v>
      </c>
      <c r="C197" s="2" t="s">
        <v>39</v>
      </c>
      <c r="D197" s="2">
        <v>4.0</v>
      </c>
      <c r="E197" s="2">
        <v>177.54</v>
      </c>
      <c r="F197" s="2">
        <v>710.16</v>
      </c>
      <c r="G197" s="2" t="s">
        <v>23</v>
      </c>
      <c r="H197" s="2" t="s">
        <v>36</v>
      </c>
    </row>
    <row r="198">
      <c r="A198" s="1" t="s">
        <v>227</v>
      </c>
      <c r="B198" s="3">
        <v>46024.0</v>
      </c>
      <c r="C198" s="2" t="s">
        <v>28</v>
      </c>
      <c r="D198" s="2">
        <v>6.0</v>
      </c>
      <c r="E198" s="2">
        <v>210.8</v>
      </c>
      <c r="F198" s="2">
        <v>1264.8</v>
      </c>
      <c r="G198" s="2" t="s">
        <v>20</v>
      </c>
      <c r="H198" s="2" t="s">
        <v>21</v>
      </c>
    </row>
    <row r="199">
      <c r="A199" s="1" t="s">
        <v>228</v>
      </c>
      <c r="B199" s="3">
        <v>46099.0</v>
      </c>
      <c r="C199" s="2" t="s">
        <v>13</v>
      </c>
      <c r="D199" s="2">
        <v>1.0</v>
      </c>
      <c r="E199" s="2">
        <v>10.1</v>
      </c>
      <c r="F199" s="2">
        <v>10.1</v>
      </c>
      <c r="G199" s="2" t="s">
        <v>14</v>
      </c>
      <c r="H199" s="2" t="s">
        <v>36</v>
      </c>
    </row>
    <row r="200">
      <c r="A200" s="1" t="s">
        <v>229</v>
      </c>
      <c r="B200" s="3">
        <v>46038.0</v>
      </c>
      <c r="C200" s="2" t="s">
        <v>39</v>
      </c>
      <c r="D200" s="2">
        <v>8.0</v>
      </c>
      <c r="E200" s="2">
        <v>192.08</v>
      </c>
      <c r="F200" s="2">
        <v>1536.64</v>
      </c>
      <c r="G200" s="2" t="s">
        <v>10</v>
      </c>
      <c r="H200" s="2" t="s">
        <v>29</v>
      </c>
    </row>
    <row r="201">
      <c r="A201" s="1" t="s">
        <v>230</v>
      </c>
      <c r="B201" s="3">
        <v>46026.0</v>
      </c>
      <c r="C201" s="2" t="s">
        <v>28</v>
      </c>
      <c r="D201" s="2">
        <v>6.0</v>
      </c>
      <c r="E201" s="2">
        <v>134.68</v>
      </c>
      <c r="F201" s="2">
        <v>808.08</v>
      </c>
      <c r="G201" s="2" t="s">
        <v>10</v>
      </c>
      <c r="H201" s="2" t="s">
        <v>36</v>
      </c>
    </row>
    <row r="202">
      <c r="A202" s="1" t="s">
        <v>231</v>
      </c>
      <c r="B202" s="3">
        <v>46084.0</v>
      </c>
      <c r="C202" s="2" t="s">
        <v>44</v>
      </c>
      <c r="D202" s="2">
        <v>4.0</v>
      </c>
      <c r="E202" s="2">
        <v>24.02</v>
      </c>
      <c r="F202" s="2">
        <v>96.08</v>
      </c>
      <c r="G202" s="2" t="s">
        <v>23</v>
      </c>
      <c r="H202" s="2" t="s">
        <v>40</v>
      </c>
    </row>
    <row r="203">
      <c r="A203" s="1" t="s">
        <v>232</v>
      </c>
      <c r="B203" s="3">
        <v>46178.0</v>
      </c>
      <c r="C203" s="2" t="s">
        <v>33</v>
      </c>
      <c r="D203" s="2">
        <v>7.0</v>
      </c>
      <c r="E203" s="2">
        <v>90.5</v>
      </c>
      <c r="F203" s="2">
        <v>633.5</v>
      </c>
      <c r="G203" s="2" t="s">
        <v>20</v>
      </c>
      <c r="H203" s="2" t="s">
        <v>17</v>
      </c>
    </row>
    <row r="204">
      <c r="A204" s="1" t="s">
        <v>233</v>
      </c>
      <c r="B204" s="3">
        <v>46171.0</v>
      </c>
      <c r="C204" s="2" t="s">
        <v>31</v>
      </c>
      <c r="D204" s="2">
        <v>4.0</v>
      </c>
      <c r="E204" s="2">
        <v>189.38</v>
      </c>
      <c r="F204" s="2">
        <v>757.52</v>
      </c>
      <c r="G204" s="2" t="s">
        <v>26</v>
      </c>
      <c r="H204" s="2" t="s">
        <v>29</v>
      </c>
    </row>
    <row r="205">
      <c r="A205" s="1" t="s">
        <v>234</v>
      </c>
      <c r="B205" s="3">
        <v>46038.0</v>
      </c>
      <c r="C205" s="2" t="s">
        <v>13</v>
      </c>
      <c r="D205" s="2">
        <v>6.0</v>
      </c>
      <c r="E205" s="2">
        <v>102.39</v>
      </c>
      <c r="F205" s="2">
        <v>614.34</v>
      </c>
      <c r="G205" s="2" t="s">
        <v>23</v>
      </c>
      <c r="H205" s="2" t="s">
        <v>36</v>
      </c>
    </row>
    <row r="206">
      <c r="A206" s="1" t="s">
        <v>235</v>
      </c>
      <c r="B206" s="3">
        <v>46139.0</v>
      </c>
      <c r="C206" s="2" t="s">
        <v>31</v>
      </c>
      <c r="D206" s="2">
        <v>4.0</v>
      </c>
      <c r="E206" s="2">
        <v>221.55</v>
      </c>
      <c r="F206" s="2">
        <v>886.2</v>
      </c>
      <c r="G206" s="2" t="s">
        <v>14</v>
      </c>
      <c r="H206" s="2" t="s">
        <v>40</v>
      </c>
    </row>
    <row r="207">
      <c r="A207" s="1" t="s">
        <v>236</v>
      </c>
      <c r="B207" s="3">
        <v>46050.0</v>
      </c>
      <c r="C207" s="2" t="s">
        <v>13</v>
      </c>
      <c r="D207" s="2">
        <v>7.0</v>
      </c>
      <c r="E207" s="2">
        <v>229.99</v>
      </c>
      <c r="F207" s="2">
        <v>1609.93</v>
      </c>
      <c r="G207" s="2" t="s">
        <v>14</v>
      </c>
      <c r="H207" s="2" t="s">
        <v>29</v>
      </c>
    </row>
    <row r="208">
      <c r="A208" s="1" t="s">
        <v>237</v>
      </c>
      <c r="B208" s="3">
        <v>46142.0</v>
      </c>
      <c r="C208" s="2" t="s">
        <v>44</v>
      </c>
      <c r="D208" s="2">
        <v>3.0</v>
      </c>
      <c r="E208" s="2">
        <v>107.72</v>
      </c>
      <c r="F208" s="2">
        <v>323.16</v>
      </c>
      <c r="G208" s="2" t="s">
        <v>10</v>
      </c>
      <c r="H208" s="2" t="s">
        <v>36</v>
      </c>
    </row>
    <row r="209">
      <c r="A209" s="1" t="s">
        <v>238</v>
      </c>
      <c r="B209" s="3">
        <v>46051.0</v>
      </c>
      <c r="C209" s="2" t="s">
        <v>64</v>
      </c>
      <c r="D209" s="2">
        <v>3.0</v>
      </c>
      <c r="E209" s="2">
        <v>25.74</v>
      </c>
      <c r="F209" s="2">
        <v>77.22</v>
      </c>
      <c r="G209" s="2" t="s">
        <v>20</v>
      </c>
      <c r="H209" s="2" t="s">
        <v>11</v>
      </c>
    </row>
    <row r="210">
      <c r="A210" s="1" t="s">
        <v>239</v>
      </c>
      <c r="B210" s="3">
        <v>46120.0</v>
      </c>
      <c r="C210" s="2" t="s">
        <v>35</v>
      </c>
      <c r="D210" s="2">
        <v>3.0</v>
      </c>
      <c r="E210" s="2">
        <v>165.15</v>
      </c>
      <c r="F210" s="2">
        <v>495.45</v>
      </c>
      <c r="G210" s="2" t="s">
        <v>20</v>
      </c>
      <c r="H210" s="2" t="s">
        <v>11</v>
      </c>
    </row>
    <row r="211">
      <c r="A211" s="1" t="s">
        <v>240</v>
      </c>
      <c r="B211" s="3">
        <v>46053.0</v>
      </c>
      <c r="C211" s="2" t="s">
        <v>16</v>
      </c>
      <c r="D211" s="2">
        <v>4.0</v>
      </c>
      <c r="E211" s="2">
        <v>192.3</v>
      </c>
      <c r="F211" s="2">
        <v>769.2</v>
      </c>
      <c r="G211" s="2" t="s">
        <v>20</v>
      </c>
      <c r="H211" s="2" t="s">
        <v>36</v>
      </c>
    </row>
    <row r="212">
      <c r="A212" s="1" t="s">
        <v>241</v>
      </c>
      <c r="B212" s="3">
        <v>46156.0</v>
      </c>
      <c r="C212" s="2" t="s">
        <v>25</v>
      </c>
      <c r="D212" s="2">
        <v>8.0</v>
      </c>
      <c r="E212" s="2">
        <v>222.49</v>
      </c>
      <c r="F212" s="2">
        <v>1779.92</v>
      </c>
      <c r="G212" s="2" t="s">
        <v>23</v>
      </c>
      <c r="H212" s="2" t="s">
        <v>40</v>
      </c>
    </row>
    <row r="213">
      <c r="A213" s="1" t="s">
        <v>242</v>
      </c>
      <c r="B213" s="3">
        <v>46193.0</v>
      </c>
      <c r="C213" s="2" t="s">
        <v>16</v>
      </c>
      <c r="D213" s="2">
        <v>4.0</v>
      </c>
      <c r="E213" s="2">
        <v>176.62</v>
      </c>
      <c r="F213" s="2">
        <v>706.48</v>
      </c>
      <c r="G213" s="2" t="s">
        <v>14</v>
      </c>
      <c r="H213" s="2" t="s">
        <v>17</v>
      </c>
    </row>
    <row r="214">
      <c r="A214" s="1" t="s">
        <v>243</v>
      </c>
      <c r="B214" s="3">
        <v>46104.0</v>
      </c>
      <c r="C214" s="2" t="s">
        <v>64</v>
      </c>
      <c r="D214" s="2">
        <v>4.0</v>
      </c>
      <c r="E214" s="2">
        <v>19.88</v>
      </c>
      <c r="F214" s="2">
        <v>79.52</v>
      </c>
      <c r="G214" s="2" t="s">
        <v>20</v>
      </c>
      <c r="H214" s="2" t="s">
        <v>11</v>
      </c>
    </row>
    <row r="215">
      <c r="A215" s="1" t="s">
        <v>244</v>
      </c>
      <c r="B215" s="3">
        <v>46032.0</v>
      </c>
      <c r="C215" s="2" t="s">
        <v>39</v>
      </c>
      <c r="D215" s="2">
        <v>6.0</v>
      </c>
      <c r="E215" s="2">
        <v>80.46</v>
      </c>
      <c r="F215" s="2">
        <v>482.76</v>
      </c>
      <c r="G215" s="2" t="s">
        <v>20</v>
      </c>
      <c r="H215" s="2" t="s">
        <v>21</v>
      </c>
    </row>
    <row r="216">
      <c r="A216" s="1" t="s">
        <v>245</v>
      </c>
      <c r="B216" s="3">
        <v>46122.0</v>
      </c>
      <c r="C216" s="2" t="s">
        <v>19</v>
      </c>
      <c r="D216" s="2">
        <v>8.0</v>
      </c>
      <c r="E216" s="2">
        <v>59.83</v>
      </c>
      <c r="F216" s="2">
        <v>478.64</v>
      </c>
      <c r="G216" s="2" t="s">
        <v>10</v>
      </c>
      <c r="H216" s="2" t="s">
        <v>29</v>
      </c>
    </row>
    <row r="217">
      <c r="A217" s="1" t="s">
        <v>246</v>
      </c>
      <c r="B217" s="3">
        <v>46141.0</v>
      </c>
      <c r="C217" s="2" t="s">
        <v>33</v>
      </c>
      <c r="D217" s="2">
        <v>6.0</v>
      </c>
      <c r="E217" s="2">
        <v>247.09</v>
      </c>
      <c r="F217" s="2">
        <v>1482.54</v>
      </c>
      <c r="G217" s="2" t="s">
        <v>23</v>
      </c>
      <c r="H217" s="2" t="s">
        <v>29</v>
      </c>
    </row>
    <row r="218">
      <c r="A218" s="1" t="s">
        <v>247</v>
      </c>
      <c r="B218" s="3">
        <v>46055.0</v>
      </c>
      <c r="C218" s="2" t="s">
        <v>33</v>
      </c>
      <c r="D218" s="2">
        <v>8.0</v>
      </c>
      <c r="E218" s="2">
        <v>75.78</v>
      </c>
      <c r="F218" s="2">
        <v>606.24</v>
      </c>
      <c r="G218" s="2" t="s">
        <v>10</v>
      </c>
      <c r="H218" s="2" t="s">
        <v>29</v>
      </c>
    </row>
    <row r="219">
      <c r="A219" s="1" t="s">
        <v>248</v>
      </c>
      <c r="B219" s="3">
        <v>46125.0</v>
      </c>
      <c r="C219" s="2" t="s">
        <v>13</v>
      </c>
      <c r="D219" s="2">
        <v>8.0</v>
      </c>
      <c r="E219" s="2">
        <v>84.2</v>
      </c>
      <c r="F219" s="2">
        <v>673.6</v>
      </c>
      <c r="G219" s="2" t="s">
        <v>14</v>
      </c>
      <c r="H219" s="2" t="s">
        <v>40</v>
      </c>
    </row>
    <row r="220">
      <c r="A220" s="1" t="s">
        <v>249</v>
      </c>
      <c r="B220" s="3">
        <v>46194.0</v>
      </c>
      <c r="C220" s="2" t="s">
        <v>31</v>
      </c>
      <c r="D220" s="2">
        <v>6.0</v>
      </c>
      <c r="E220" s="2">
        <v>176.53</v>
      </c>
      <c r="F220" s="2">
        <v>1059.18</v>
      </c>
      <c r="G220" s="2" t="s">
        <v>20</v>
      </c>
      <c r="H220" s="2" t="s">
        <v>17</v>
      </c>
    </row>
    <row r="221">
      <c r="A221" s="1" t="s">
        <v>250</v>
      </c>
      <c r="B221" s="3">
        <v>46137.0</v>
      </c>
      <c r="C221" s="2" t="s">
        <v>28</v>
      </c>
      <c r="D221" s="2">
        <v>1.0</v>
      </c>
      <c r="E221" s="2">
        <v>41.52</v>
      </c>
      <c r="F221" s="2">
        <v>41.52</v>
      </c>
      <c r="G221" s="2" t="s">
        <v>23</v>
      </c>
      <c r="H221" s="2" t="s">
        <v>17</v>
      </c>
    </row>
    <row r="222">
      <c r="A222" s="1" t="s">
        <v>251</v>
      </c>
      <c r="B222" s="3">
        <v>46192.0</v>
      </c>
      <c r="C222" s="2" t="s">
        <v>9</v>
      </c>
      <c r="D222" s="2">
        <v>8.0</v>
      </c>
      <c r="E222" s="2">
        <v>170.93</v>
      </c>
      <c r="F222" s="2">
        <v>1367.44</v>
      </c>
      <c r="G222" s="2" t="s">
        <v>14</v>
      </c>
      <c r="H222" s="2" t="s">
        <v>36</v>
      </c>
    </row>
    <row r="223">
      <c r="A223" s="1" t="s">
        <v>252</v>
      </c>
      <c r="B223" s="3">
        <v>46046.0</v>
      </c>
      <c r="C223" s="2" t="s">
        <v>16</v>
      </c>
      <c r="D223" s="2">
        <v>6.0</v>
      </c>
      <c r="E223" s="2">
        <v>95.04</v>
      </c>
      <c r="F223" s="2">
        <v>570.24</v>
      </c>
      <c r="G223" s="2" t="s">
        <v>26</v>
      </c>
      <c r="H223" s="2" t="s">
        <v>36</v>
      </c>
    </row>
    <row r="224">
      <c r="A224" s="1" t="s">
        <v>253</v>
      </c>
      <c r="B224" s="3">
        <v>46197.0</v>
      </c>
      <c r="C224" s="2" t="s">
        <v>44</v>
      </c>
      <c r="D224" s="2">
        <v>5.0</v>
      </c>
      <c r="E224" s="2">
        <v>69.34</v>
      </c>
      <c r="F224" s="2">
        <v>346.7</v>
      </c>
      <c r="G224" s="2" t="s">
        <v>23</v>
      </c>
      <c r="H224" s="2" t="s">
        <v>21</v>
      </c>
    </row>
    <row r="225">
      <c r="A225" s="1" t="s">
        <v>254</v>
      </c>
      <c r="B225" s="3">
        <v>46141.0</v>
      </c>
      <c r="C225" s="2" t="s">
        <v>31</v>
      </c>
      <c r="D225" s="2">
        <v>6.0</v>
      </c>
      <c r="E225" s="2">
        <v>84.34</v>
      </c>
      <c r="F225" s="2">
        <v>506.04</v>
      </c>
      <c r="G225" s="2" t="s">
        <v>10</v>
      </c>
      <c r="H225" s="2" t="s">
        <v>29</v>
      </c>
    </row>
    <row r="226">
      <c r="A226" s="1" t="s">
        <v>255</v>
      </c>
      <c r="B226" s="3">
        <v>46083.0</v>
      </c>
      <c r="C226" s="2" t="s">
        <v>19</v>
      </c>
      <c r="D226" s="2">
        <v>7.0</v>
      </c>
      <c r="E226" s="2">
        <v>229.31</v>
      </c>
      <c r="F226" s="2">
        <v>1605.17</v>
      </c>
      <c r="G226" s="2" t="s">
        <v>20</v>
      </c>
      <c r="H226" s="2" t="s">
        <v>17</v>
      </c>
    </row>
    <row r="227">
      <c r="A227" s="1" t="s">
        <v>256</v>
      </c>
      <c r="B227" s="3">
        <v>46068.0</v>
      </c>
      <c r="C227" s="2" t="s">
        <v>16</v>
      </c>
      <c r="D227" s="2">
        <v>6.0</v>
      </c>
      <c r="E227" s="2">
        <v>94.56</v>
      </c>
      <c r="F227" s="2">
        <v>567.36</v>
      </c>
      <c r="G227" s="2" t="s">
        <v>14</v>
      </c>
      <c r="H227" s="2" t="s">
        <v>29</v>
      </c>
    </row>
    <row r="228">
      <c r="A228" s="1" t="s">
        <v>257</v>
      </c>
      <c r="B228" s="3">
        <v>46102.0</v>
      </c>
      <c r="C228" s="2" t="s">
        <v>64</v>
      </c>
      <c r="D228" s="2">
        <v>2.0</v>
      </c>
      <c r="E228" s="2">
        <v>69.33</v>
      </c>
      <c r="F228" s="2">
        <v>138.66</v>
      </c>
      <c r="G228" s="2" t="s">
        <v>26</v>
      </c>
      <c r="H228" s="2" t="s">
        <v>29</v>
      </c>
    </row>
    <row r="229">
      <c r="A229" s="1" t="s">
        <v>258</v>
      </c>
      <c r="B229" s="3">
        <v>46119.0</v>
      </c>
      <c r="C229" s="2" t="s">
        <v>64</v>
      </c>
      <c r="D229" s="2">
        <v>5.0</v>
      </c>
      <c r="E229" s="2">
        <v>188.12</v>
      </c>
      <c r="F229" s="2">
        <v>940.6</v>
      </c>
      <c r="G229" s="2" t="s">
        <v>23</v>
      </c>
      <c r="H229" s="2" t="s">
        <v>36</v>
      </c>
    </row>
    <row r="230">
      <c r="A230" s="1" t="s">
        <v>259</v>
      </c>
      <c r="B230" s="3">
        <v>46201.0</v>
      </c>
      <c r="C230" s="2" t="s">
        <v>35</v>
      </c>
      <c r="D230" s="2">
        <v>1.0</v>
      </c>
      <c r="E230" s="2">
        <v>246.25</v>
      </c>
      <c r="F230" s="2">
        <v>246.25</v>
      </c>
      <c r="G230" s="2" t="s">
        <v>23</v>
      </c>
      <c r="H230" s="2" t="s">
        <v>36</v>
      </c>
    </row>
    <row r="231">
      <c r="A231" s="1" t="s">
        <v>260</v>
      </c>
      <c r="B231" s="3">
        <v>46167.0</v>
      </c>
      <c r="C231" s="2" t="s">
        <v>19</v>
      </c>
      <c r="D231" s="2">
        <v>3.0</v>
      </c>
      <c r="E231" s="2">
        <v>112.88</v>
      </c>
      <c r="F231" s="2">
        <v>338.64</v>
      </c>
      <c r="G231" s="2" t="s">
        <v>10</v>
      </c>
      <c r="H231" s="2" t="s">
        <v>36</v>
      </c>
    </row>
    <row r="232">
      <c r="A232" s="1" t="s">
        <v>261</v>
      </c>
      <c r="B232" s="3">
        <v>46187.0</v>
      </c>
      <c r="C232" s="2" t="s">
        <v>25</v>
      </c>
      <c r="D232" s="2">
        <v>1.0</v>
      </c>
      <c r="E232" s="2">
        <v>231.32</v>
      </c>
      <c r="F232" s="2">
        <v>231.32</v>
      </c>
      <c r="G232" s="2" t="s">
        <v>10</v>
      </c>
      <c r="H232" s="2" t="s">
        <v>17</v>
      </c>
    </row>
    <row r="233">
      <c r="A233" s="1" t="s">
        <v>262</v>
      </c>
      <c r="B233" s="3">
        <v>46191.0</v>
      </c>
      <c r="C233" s="2" t="s">
        <v>16</v>
      </c>
      <c r="D233" s="2">
        <v>6.0</v>
      </c>
      <c r="E233" s="2">
        <v>22.2</v>
      </c>
      <c r="F233" s="2">
        <v>133.2</v>
      </c>
      <c r="G233" s="2" t="s">
        <v>14</v>
      </c>
      <c r="H233" s="2" t="s">
        <v>29</v>
      </c>
    </row>
    <row r="234">
      <c r="A234" s="1" t="s">
        <v>263</v>
      </c>
      <c r="B234" s="3">
        <v>46193.0</v>
      </c>
      <c r="C234" s="2" t="s">
        <v>44</v>
      </c>
      <c r="D234" s="2">
        <v>1.0</v>
      </c>
      <c r="E234" s="2">
        <v>183.55</v>
      </c>
      <c r="F234" s="2">
        <v>183.55</v>
      </c>
      <c r="G234" s="2" t="s">
        <v>26</v>
      </c>
      <c r="H234" s="2" t="s">
        <v>21</v>
      </c>
    </row>
    <row r="235">
      <c r="A235" s="1" t="s">
        <v>264</v>
      </c>
      <c r="B235" s="3">
        <v>46104.0</v>
      </c>
      <c r="C235" s="2" t="s">
        <v>35</v>
      </c>
      <c r="D235" s="2">
        <v>3.0</v>
      </c>
      <c r="E235" s="2">
        <v>108.9</v>
      </c>
      <c r="F235" s="2">
        <v>326.7</v>
      </c>
      <c r="G235" s="2" t="s">
        <v>23</v>
      </c>
      <c r="H235" s="2" t="s">
        <v>11</v>
      </c>
    </row>
    <row r="236">
      <c r="A236" s="1" t="s">
        <v>265</v>
      </c>
      <c r="B236" s="3">
        <v>46057.0</v>
      </c>
      <c r="C236" s="2" t="s">
        <v>44</v>
      </c>
      <c r="D236" s="2">
        <v>3.0</v>
      </c>
      <c r="E236" s="2">
        <v>51.62</v>
      </c>
      <c r="F236" s="2">
        <v>154.86</v>
      </c>
      <c r="G236" s="2" t="s">
        <v>10</v>
      </c>
      <c r="H236" s="2" t="s">
        <v>17</v>
      </c>
    </row>
    <row r="237">
      <c r="A237" s="1" t="s">
        <v>266</v>
      </c>
      <c r="B237" s="3">
        <v>46029.0</v>
      </c>
      <c r="C237" s="2" t="s">
        <v>35</v>
      </c>
      <c r="D237" s="2">
        <v>2.0</v>
      </c>
      <c r="E237" s="2">
        <v>115.03</v>
      </c>
      <c r="F237" s="2">
        <v>230.06</v>
      </c>
      <c r="G237" s="2" t="s">
        <v>26</v>
      </c>
      <c r="H237" s="2" t="s">
        <v>40</v>
      </c>
    </row>
    <row r="238">
      <c r="A238" s="1" t="s">
        <v>267</v>
      </c>
      <c r="B238" s="3">
        <v>46191.0</v>
      </c>
      <c r="C238" s="2" t="s">
        <v>28</v>
      </c>
      <c r="D238" s="2">
        <v>8.0</v>
      </c>
      <c r="E238" s="2">
        <v>208.4</v>
      </c>
      <c r="F238" s="2">
        <v>1667.2</v>
      </c>
      <c r="G238" s="2" t="s">
        <v>10</v>
      </c>
      <c r="H238" s="2" t="s">
        <v>11</v>
      </c>
    </row>
    <row r="239">
      <c r="A239" s="1" t="s">
        <v>268</v>
      </c>
      <c r="B239" s="3">
        <v>46167.0</v>
      </c>
      <c r="C239" s="2" t="s">
        <v>39</v>
      </c>
      <c r="D239" s="2">
        <v>2.0</v>
      </c>
      <c r="E239" s="2">
        <v>137.09</v>
      </c>
      <c r="F239" s="2">
        <v>274.18</v>
      </c>
      <c r="G239" s="2" t="s">
        <v>20</v>
      </c>
      <c r="H239" s="2" t="s">
        <v>29</v>
      </c>
    </row>
    <row r="240">
      <c r="A240" s="1" t="s">
        <v>269</v>
      </c>
      <c r="B240" s="3">
        <v>46157.0</v>
      </c>
      <c r="C240" s="2" t="s">
        <v>25</v>
      </c>
      <c r="D240" s="2">
        <v>6.0</v>
      </c>
      <c r="E240" s="2">
        <v>163.43</v>
      </c>
      <c r="F240" s="2">
        <v>980.58</v>
      </c>
      <c r="G240" s="2" t="s">
        <v>14</v>
      </c>
      <c r="H240" s="2" t="s">
        <v>21</v>
      </c>
    </row>
    <row r="241">
      <c r="A241" s="1" t="s">
        <v>270</v>
      </c>
      <c r="B241" s="3">
        <v>46116.0</v>
      </c>
      <c r="C241" s="2" t="s">
        <v>19</v>
      </c>
      <c r="D241" s="2">
        <v>6.0</v>
      </c>
      <c r="E241" s="2">
        <v>160.47</v>
      </c>
      <c r="F241" s="2">
        <v>962.82</v>
      </c>
      <c r="G241" s="2" t="s">
        <v>23</v>
      </c>
      <c r="H241" s="2" t="s">
        <v>40</v>
      </c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  <row r="998">
      <c r="A998" s="4"/>
    </row>
    <row r="999">
      <c r="A999" s="4"/>
    </row>
    <row r="1000">
      <c r="A1000" s="4"/>
    </row>
  </sheetData>
  <autoFilter ref="$A$1:$H$24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271</v>
      </c>
    </row>
    <row r="3">
      <c r="A3" s="1" t="s">
        <v>272</v>
      </c>
      <c r="B3" s="4">
        <f>SUM(sales_data!F2:F1000)</f>
        <v>142437.14</v>
      </c>
    </row>
    <row r="4">
      <c r="A4" s="1" t="s">
        <v>273</v>
      </c>
      <c r="B4" s="4">
        <f>SUM(sales_data!F3:F1000)</f>
        <v>141760.94</v>
      </c>
    </row>
    <row r="5">
      <c r="A5" s="1" t="s">
        <v>274</v>
      </c>
      <c r="B5" s="4">
        <f>SUM(sales_data!F4:F1000)</f>
        <v>141546.26</v>
      </c>
    </row>
    <row r="7">
      <c r="A7" s="1" t="s">
        <v>275</v>
      </c>
    </row>
    <row r="8">
      <c r="A8" s="2" t="s">
        <v>276</v>
      </c>
      <c r="B8" s="2" t="s">
        <v>277</v>
      </c>
    </row>
    <row r="9">
      <c r="A9" s="2" t="s">
        <v>10</v>
      </c>
      <c r="B9" s="5">
        <f>SUMIF(sales_data!G:G,A9,sales_data!F:F)</f>
        <v>28925</v>
      </c>
    </row>
    <row r="10">
      <c r="A10" s="2" t="s">
        <v>14</v>
      </c>
      <c r="B10" s="5">
        <f>SUMIF(sales_data!G:G,A10,sales_data!F:F)</f>
        <v>30083.51</v>
      </c>
    </row>
    <row r="11">
      <c r="A11" s="2" t="s">
        <v>20</v>
      </c>
      <c r="B11" s="5">
        <f>SUMIF(sales_data!G:G,A11,sales_data!F:F)</f>
        <v>26485.82</v>
      </c>
    </row>
    <row r="12">
      <c r="A12" s="2" t="s">
        <v>26</v>
      </c>
      <c r="B12" s="2">
        <f>SUMIF(sales_data!G:G,A12,sales_data!F:F)</f>
        <v>26154.87</v>
      </c>
    </row>
    <row r="14">
      <c r="A14" s="1" t="s">
        <v>278</v>
      </c>
    </row>
    <row r="15">
      <c r="A15" s="2" t="s">
        <v>279</v>
      </c>
      <c r="B15" s="2" t="s">
        <v>280</v>
      </c>
    </row>
    <row r="16">
      <c r="A16" s="5" t="str">
        <f t="array" ref="A16:A28">UNIQUE(sales_data!C2:C1000)</f>
        <v>Mechanical Keyboard</v>
      </c>
      <c r="B16" s="5">
        <f>SUMIF(sales_data!$C$2:$C$241,A16,sales_data!$D$2:$D$241)</f>
        <v>75</v>
      </c>
    </row>
    <row r="17">
      <c r="A17" s="5" t="s">
        <v>13</v>
      </c>
      <c r="B17" s="5">
        <f>SUMIF(sales_data!$C$2:$C$241,A17,sales_data!$D$2:$D$241)</f>
        <v>77</v>
      </c>
    </row>
    <row r="18">
      <c r="A18" s="5" t="s">
        <v>16</v>
      </c>
      <c r="B18" s="5">
        <f>SUMIF(sales_data!$C$2:$C$241,A18,sales_data!$D$2:$D$241)</f>
        <v>65</v>
      </c>
    </row>
    <row r="19">
      <c r="A19" s="5" t="s">
        <v>19</v>
      </c>
      <c r="B19" s="5">
        <f>SUMIF(sales_data!$C$2:$C$241,A19,sales_data!$D$2:$D$241)</f>
        <v>122</v>
      </c>
    </row>
    <row r="20">
      <c r="A20" s="5" t="s">
        <v>25</v>
      </c>
      <c r="B20" s="5">
        <f>SUMIF(sales_data!$C$2:$C$241,A20,sales_data!$D$2:$D$241)</f>
        <v>71</v>
      </c>
    </row>
    <row r="21">
      <c r="A21" s="5" t="s">
        <v>28</v>
      </c>
      <c r="B21" s="5">
        <f>SUMIF(sales_data!$C$2:$C$241,A21,sales_data!$D$2:$D$241)</f>
        <v>113</v>
      </c>
    </row>
    <row r="22">
      <c r="A22" s="5" t="s">
        <v>31</v>
      </c>
      <c r="B22" s="5">
        <f>SUMIF(sales_data!$C$2:$C$241,A22,sales_data!$D$2:$D$241)</f>
        <v>79</v>
      </c>
    </row>
    <row r="23">
      <c r="A23" s="5" t="s">
        <v>33</v>
      </c>
      <c r="B23" s="5">
        <f>SUMIF(sales_data!$C$2:$C$241,A23,sales_data!$D$2:$D$241)</f>
        <v>133</v>
      </c>
    </row>
    <row r="24">
      <c r="A24" s="5" t="s">
        <v>35</v>
      </c>
      <c r="B24" s="5">
        <f>SUMIF(sales_data!$C$2:$C$241,A24,sales_data!$D$2:$D$241)</f>
        <v>98</v>
      </c>
    </row>
    <row r="25">
      <c r="A25" s="5" t="s">
        <v>39</v>
      </c>
      <c r="B25" s="5">
        <f>SUMIF(sales_data!$C$2:$C$241,A25,sales_data!$D$2:$D$241)</f>
        <v>102</v>
      </c>
    </row>
    <row r="26">
      <c r="A26" s="5" t="s">
        <v>44</v>
      </c>
      <c r="B26" s="5">
        <f>SUMIF(sales_data!$C$2:$C$241,A26,sales_data!$D$2:$D$241)</f>
        <v>97</v>
      </c>
    </row>
    <row r="27">
      <c r="A27" s="5" t="s">
        <v>64</v>
      </c>
      <c r="B27" s="5">
        <f>SUMIF(sales_data!$C$2:$C$241,A27,sales_data!$D$2:$D$241)</f>
        <v>76</v>
      </c>
    </row>
    <row r="28">
      <c r="A28" s="5"/>
    </row>
    <row r="30">
      <c r="A30" s="1" t="s">
        <v>281</v>
      </c>
    </row>
    <row r="31">
      <c r="A31" s="2" t="s">
        <v>282</v>
      </c>
      <c r="B31" s="2" t="s">
        <v>277</v>
      </c>
    </row>
    <row r="32">
      <c r="A32" s="2" t="s">
        <v>283</v>
      </c>
      <c r="B32" s="5">
        <f>SUMIFS(sales_data!F:F,sales_data!B:B,"&gt;="&amp;DATE(2026,1,1),sales_data!B:B,"&lt;"&amp;DATE(2026,2,1))</f>
        <v>24177.45</v>
      </c>
    </row>
    <row r="33">
      <c r="A33" s="2" t="s">
        <v>284</v>
      </c>
      <c r="B33" s="5">
        <f>SUMIF(sales_data!B:B,"&gt;="&amp;DATE(2026,2,1),sales_data!F:F)-SUMIF(sales_data!B:B,"&gt;="&amp;DATE(2026,3,1),sales_data!F:F)</f>
        <v>13788.89</v>
      </c>
    </row>
    <row r="34">
      <c r="A34" s="2" t="s">
        <v>285</v>
      </c>
      <c r="B34" s="5">
        <f>SUMIF(sales_data!B:B,"&gt;="&amp;DATE(2026,3,1),sales_data!F:F)-SUMIF(sales_data!B:B,"&gt;="&amp;DATE(2026,4,1),sales_data!F:F)</f>
        <v>19390.28</v>
      </c>
    </row>
    <row r="35">
      <c r="A35" s="2" t="s">
        <v>286</v>
      </c>
      <c r="B35" s="5">
        <f>SUMIF(sales_data!B:B,"&gt;="&amp;DATE(2026,4,1),sales_data!F:F)-SUMIF(sales_data!B:B,"&gt;="&amp;DATE(2026,5,1),sales_data!F:F)</f>
        <v>23471.38</v>
      </c>
    </row>
    <row r="36">
      <c r="A36" s="2" t="s">
        <v>287</v>
      </c>
      <c r="B36" s="5">
        <f>SUMIF(sales_data!B:B,"&gt;="&amp;DATE(2026,5,1),sales_data!F:F)-SUMIF(sales_data!B:B,"&gt;="&amp;DATE(2026,6,1),sales_data!F:F)</f>
        <v>24885.97</v>
      </c>
    </row>
    <row r="37">
      <c r="A37" s="2" t="s">
        <v>288</v>
      </c>
      <c r="B37" s="5">
        <f>SUMIF(sales_data!B:B,"&gt;="&amp;DATE(2026,6,1),sales_data!F:F)-SUMIF(sales_data!B:B,"&gt;="&amp;DATE(2026,7,1),sales_data!F:F)</f>
        <v>36723.17</v>
      </c>
    </row>
    <row r="38">
      <c r="A38" s="2" t="s">
        <v>289</v>
      </c>
      <c r="B38" s="5">
        <f>SUMIF(sales_data!B:B,"&gt;="&amp;DATE(2026,7,1),sales_data!F:F)-SUMIF(sales_data!B:B,"&gt;="&amp;DATE(2026,8,1),sales_data!F:F)</f>
        <v>0</v>
      </c>
    </row>
    <row r="39">
      <c r="A39" s="2" t="s">
        <v>290</v>
      </c>
      <c r="B39" s="5">
        <f>SUMIF(sales_data!B:B,"&gt;="&amp;DATE(2026,8,1),sales_data!F:F)-SUMIF(sales_data!B:B,"&gt;="&amp;DATE(2026,9,1),sales_data!F:F)</f>
        <v>0</v>
      </c>
    </row>
    <row r="40">
      <c r="A40" s="2" t="s">
        <v>291</v>
      </c>
      <c r="B40" s="5">
        <f>SUMIF(sales_data!B:B,"&gt;="&amp;DATE(2026,9,1),sales_data!F:F)-SUMIF(sales_data!B:B,"&gt;="&amp;DATE(2026,10,1),sales_data!F:F)</f>
        <v>0</v>
      </c>
    </row>
    <row r="41">
      <c r="A41" s="2" t="s">
        <v>292</v>
      </c>
      <c r="B41" s="5">
        <f>SUMIF(sales_data!B:B,"&gt;="&amp;DATE(2026,10,1),sales_data!F:F)-SUMIF(sales_data!B:B,"&gt;="&amp;DATE(2026,11,1),sales_data!F:F)</f>
        <v>0</v>
      </c>
    </row>
    <row r="42">
      <c r="A42" s="2" t="s">
        <v>293</v>
      </c>
      <c r="B42" s="5">
        <f>SUMIF(sales_data!B:B,"&gt;="&amp;DATE(2026,11,1),sales_data!F:F)-SUMIF(sales_data!B:B,"&gt;="&amp;DATE(2026,12,1),sales_data!F:F)</f>
        <v>0</v>
      </c>
    </row>
    <row r="43">
      <c r="A43" s="2" t="s">
        <v>294</v>
      </c>
      <c r="B43" s="5">
        <f>SUMIF(sales_data!B:B,"&gt;="&amp;DATE(2026,12,1),sales_data!F:F)-SUMIF(sales_data!B:B,"&gt;="&amp;DATE(2026,13,1),sales_data!F:F)</f>
        <v>0</v>
      </c>
    </row>
    <row r="45">
      <c r="A45" s="1" t="s">
        <v>295</v>
      </c>
    </row>
    <row r="46">
      <c r="A46" s="2" t="s">
        <v>296</v>
      </c>
    </row>
    <row r="47">
      <c r="A47" s="2" t="s">
        <v>297</v>
      </c>
    </row>
    <row r="48">
      <c r="A48" s="2" t="s">
        <v>298</v>
      </c>
    </row>
    <row r="49">
      <c r="A49" s="2" t="s">
        <v>299</v>
      </c>
    </row>
    <row r="50">
      <c r="A50" s="1" t="s">
        <v>300</v>
      </c>
    </row>
    <row r="51">
      <c r="A51" s="2" t="s">
        <v>301</v>
      </c>
    </row>
    <row r="52">
      <c r="A52" s="2" t="s">
        <v>302</v>
      </c>
    </row>
    <row r="53">
      <c r="A53" s="2" t="s">
        <v>303</v>
      </c>
    </row>
    <row r="54">
      <c r="A54" s="2" t="s">
        <v>304</v>
      </c>
    </row>
  </sheetData>
  <drawing r:id="rId1"/>
</worksheet>
</file>